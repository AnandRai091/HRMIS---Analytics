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Data Analysis Projects\HRMIS Project\"/>
    </mc:Choice>
  </mc:AlternateContent>
  <xr:revisionPtr revIDLastSave="0" documentId="13_ncr:1_{21801F3D-096C-4CB8-92DF-941C6E8214FC}" xr6:coauthVersionLast="47" xr6:coauthVersionMax="47" xr10:uidLastSave="{00000000-0000-0000-0000-000000000000}"/>
  <bookViews>
    <workbookView xWindow="-108" yWindow="-108" windowWidth="23256" windowHeight="12456" firstSheet="5" activeTab="9" xr2:uid="{4356D8E2-E91C-4342-9473-36926B62F1BB}"/>
  </bookViews>
  <sheets>
    <sheet name="HR Data" sheetId="1" r:id="rId1"/>
    <sheet name="KPI" sheetId="2" r:id="rId2"/>
    <sheet name="Rating" sheetId="5" r:id="rId3"/>
    <sheet name="Gender" sheetId="6" r:id="rId4"/>
    <sheet name="Education by Attrition" sheetId="7" r:id="rId5"/>
    <sheet name="Attrition by Job" sheetId="8" r:id="rId6"/>
    <sheet name="Dept Wise Attrition" sheetId="9" r:id="rId7"/>
    <sheet name="Attrition by Age Group" sheetId="10" r:id="rId8"/>
    <sheet name="Marital Status" sheetId="11" r:id="rId9"/>
    <sheet name="Dashboard" sheetId="4" r:id="rId10"/>
  </sheets>
  <definedNames>
    <definedName name="_xlchart.v1.0" hidden="1">'Attrition by Job'!$D$4:$D$12</definedName>
    <definedName name="_xlchart.v1.1" hidden="1">'Attrition by Job'!$E$4:$E$12</definedName>
    <definedName name="_xlchart.v1.6" hidden="1">'Attrition by Job'!$D$4:$D$12</definedName>
    <definedName name="_xlchart.v1.7" hidden="1">'Attrition by Job'!$E$4:$E$12</definedName>
    <definedName name="_xlchart.v2.2" hidden="1">'Marital Status'!$A$11:$A$13</definedName>
    <definedName name="_xlchart.v2.3" hidden="1">'Marital Status'!$B$11:$B$13</definedName>
    <definedName name="_xlchart.v2.4" hidden="1">'Marital Status'!$A$11:$A$13</definedName>
    <definedName name="_xlchart.v2.5" hidden="1">'Marital Status'!$B$11:$B$13</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1" l="1"/>
  <c r="A11" i="11"/>
  <c r="A12" i="11"/>
  <c r="B11" i="11"/>
  <c r="B13" i="11"/>
  <c r="B12" i="11"/>
  <c r="E12" i="8"/>
  <c r="E11" i="8"/>
  <c r="E10" i="8"/>
  <c r="E9" i="8"/>
  <c r="E8" i="8"/>
  <c r="E7" i="8"/>
  <c r="E5" i="8"/>
  <c r="E6" i="8"/>
  <c r="D5" i="8"/>
  <c r="D6" i="8"/>
  <c r="D7" i="8"/>
  <c r="D8" i="8"/>
  <c r="D9" i="8"/>
  <c r="D10" i="8"/>
  <c r="D11" i="8"/>
  <c r="D12" i="8"/>
  <c r="D4" i="8"/>
  <c r="E4" i="8"/>
  <c r="B10" i="6"/>
  <c r="B9" i="6"/>
  <c r="B6" i="5"/>
  <c r="C8" i="2"/>
  <c r="B8" i="2"/>
  <c r="A8" i="2"/>
  <c r="C9" i="6" l="1"/>
  <c r="C10" i="6"/>
  <c r="B7" i="5"/>
  <c r="C7" i="5" s="1"/>
  <c r="C6" i="5"/>
  <c r="D8" i="2"/>
  <c r="E8" i="2"/>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<sst xmlns="http://schemas.openxmlformats.org/spreadsheetml/2006/main" count="19216" uniqueCount="1569">
  <si>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</si>
  <si>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</si>
  <si>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</si>
  <si>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</si>
  <si>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</si>
  <si>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</si>
  <si>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</si>
  <si>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</si>
  <si>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</si>
  <si>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</si>
  <si>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</si>
  <si>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</si>
  <si>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</si>
  <si>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</si>
  <si>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</si>
  <si>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</si>
  <si>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</si>
  <si>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</si>
  <si>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</si>
  <si>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</si>
  <si>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</si>
  <si>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</si>
  <si>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</si>
  <si>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</si>
  <si>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</si>
  <si>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</si>
  <si>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</si>
  <si>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</si>
  <si>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</si>
  <si>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</si>
  <si>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</si>
  <si>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</si>
  <si>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</si>
  <si>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</si>
  <si>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</si>
  <si>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</si>
  <si>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</si>
  <si>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</si>
  <si>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</si>
  <si>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</si>
  <si>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</si>
  <si>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</si>
  <si>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</si>
  <si>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</si>
  <si>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</si>
  <si>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</si>
  <si>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</si>
  <si>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</si>
  <si>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</si>
  <si>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</si>
  <si>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</si>
  <si>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</si>
  <si>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</si>
  <si>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</si>
  <si>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</si>
  <si>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</si>
  <si>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</si>
  <si>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</si>
  <si>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</si>
  <si>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</si>
  <si>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</si>
  <si>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</si>
  <si>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</si>
  <si>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</si>
  <si>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</si>
  <si>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</si>
  <si>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</si>
  <si>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</si>
  <si>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</si>
  <si>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</si>
  <si>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</si>
  <si>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</si>
  <si>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</si>
  <si>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</si>
  <si>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</si>
  <si>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</si>
  <si>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</si>
  <si>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</si>
  <si>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</si>
  <si>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</si>
  <si>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</si>
  <si>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</si>
  <si>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</si>
  <si>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</si>
  <si>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</si>
  <si>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</si>
  <si>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</si>
  <si>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</si>
  <si>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</si>
  <si>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</si>
  <si>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</si>
  <si>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</si>
  <si>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</si>
  <si>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</si>
  <si>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</si>
  <si>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</si>
  <si>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</si>
  <si>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</si>
  <si>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</si>
  <si>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</si>
  <si>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</si>
  <si>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</si>
  <si>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</si>
  <si>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</si>
  <si>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</si>
  <si>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</si>
  <si>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</si>
  <si>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</si>
  <si>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</si>
  <si>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</si>
  <si>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</si>
  <si>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</si>
  <si>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</si>
  <si>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</si>
  <si>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</si>
  <si>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</si>
  <si>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</si>
  <si>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</si>
  <si>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</si>
  <si>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</si>
  <si>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</si>
  <si>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</si>
  <si>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</si>
  <si>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</si>
  <si>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</si>
  <si>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</si>
  <si>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</si>
  <si>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</si>
  <si>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</si>
  <si>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</si>
  <si>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</si>
  <si>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</si>
  <si>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</si>
  <si>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</si>
  <si>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</si>
  <si>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</si>
  <si>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</si>
  <si>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</si>
  <si>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</si>
  <si>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</si>
  <si>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</si>
  <si>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</si>
  <si>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</si>
  <si>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</si>
  <si>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</si>
  <si>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</si>
  <si>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</si>
  <si>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</si>
  <si>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</si>
  <si>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</si>
  <si>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</si>
  <si>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</si>
  <si>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</si>
  <si>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</si>
  <si>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</si>
  <si>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</si>
  <si>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</si>
  <si>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</si>
  <si>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</si>
  <si>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</si>
  <si>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</si>
  <si>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</si>
  <si>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</si>
  <si>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</si>
  <si>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</si>
  <si>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</si>
  <si>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</si>
  <si>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</si>
  <si>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</si>
  <si>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</si>
  <si>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</si>
  <si>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</si>
  <si>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</si>
  <si>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</si>
  <si>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</si>
  <si>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</si>
  <si>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</si>
  <si>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</si>
  <si>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</si>
  <si>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</si>
  <si>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</si>
  <si>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</si>
  <si>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</si>
  <si>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</si>
  <si>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</si>
  <si>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</si>
  <si>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</si>
  <si>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</si>
  <si>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</si>
  <si>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</si>
  <si>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</si>
  <si>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</si>
  <si>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</si>
  <si>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</si>
  <si>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</si>
  <si>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</si>
  <si>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</si>
  <si>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</si>
  <si>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</si>
  <si>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</si>
  <si>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</si>
  <si>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</si>
  <si>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</si>
  <si>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</si>
  <si>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</si>
  <si>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</si>
  <si>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</si>
  <si>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</si>
  <si>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</si>
  <si>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</si>
  <si>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</si>
  <si>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</si>
  <si>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</si>
  <si>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</si>
  <si>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</si>
  <si>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</si>
  <si>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</si>
  <si>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</si>
  <si>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</si>
  <si>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</si>
  <si>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</si>
  <si>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</si>
  <si>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</si>
  <si>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</si>
  <si>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</si>
  <si>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</si>
  <si>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</si>
  <si>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</si>
  <si>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</si>
  <si>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</si>
  <si>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</si>
  <si>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</si>
  <si>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</si>
  <si>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</si>
  <si>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</si>
  <si>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</si>
  <si>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</si>
  <si>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</si>
  <si>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</si>
  <si>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</si>
  <si>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</si>
  <si>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</si>
  <si>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</si>
  <si>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</si>
  <si>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</si>
  <si>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</si>
  <si>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</si>
  <si>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</si>
  <si>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</si>
  <si>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</si>
  <si>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</si>
  <si>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</si>
  <si>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</si>
  <si>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</si>
  <si>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</si>
  <si>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</si>
  <si>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</si>
  <si>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</si>
  <si>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</si>
  <si>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</si>
  <si>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</si>
  <si>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</si>
  <si>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</si>
  <si>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</si>
  <si>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</si>
  <si>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</si>
  <si>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</si>
  <si>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</si>
  <si>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</si>
  <si>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</si>
  <si>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</si>
  <si>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</si>
  <si>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</si>
  <si>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</si>
  <si>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</si>
  <si>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</si>
  <si>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</si>
  <si>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</si>
  <si>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</si>
  <si>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</si>
  <si>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</si>
  <si>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</si>
  <si>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</si>
  <si>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</si>
  <si>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</si>
  <si>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</si>
  <si>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</si>
  <si>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</si>
  <si>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</si>
  <si>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</si>
  <si>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</si>
  <si>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</si>
  <si>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</si>
  <si>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</si>
  <si>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</si>
  <si>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</si>
  <si>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</si>
  <si>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</si>
  <si>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</si>
  <si>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</si>
  <si>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</si>
  <si>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</si>
  <si>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</si>
  <si>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</si>
  <si>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</si>
  <si>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</si>
  <si>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</si>
  <si>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</si>
  <si>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</si>
  <si>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</si>
  <si>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</si>
  <si>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</si>
  <si>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</si>
  <si>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</si>
  <si>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</si>
  <si>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</si>
  <si>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</si>
  <si>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</si>
  <si>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</si>
  <si>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</si>
  <si>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</si>
  <si>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</si>
  <si>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</si>
  <si>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</si>
  <si>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</si>
  <si>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</si>
  <si>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</si>
  <si>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</si>
  <si>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</si>
  <si>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</si>
  <si>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</si>
  <si>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</si>
  <si>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</si>
  <si>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</si>
  <si>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</si>
  <si>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</si>
  <si>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</si>
  <si>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</si>
  <si>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</si>
  <si>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</si>
  <si>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</si>
  <si>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</si>
  <si>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</si>
  <si>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</si>
  <si>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</si>
  <si>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</si>
  <si>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</si>
  <si>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</si>
  <si>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</si>
  <si>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</si>
  <si>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</si>
  <si>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</si>
  <si>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</si>
  <si>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</si>
  <si>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</si>
  <si>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</si>
  <si>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</si>
  <si>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</si>
  <si>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</si>
  <si>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</si>
  <si>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</si>
  <si>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</si>
  <si>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</si>
  <si>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</si>
  <si>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</si>
  <si>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</si>
  <si>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</si>
  <si>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</si>
  <si>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</si>
  <si>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</si>
  <si>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</si>
  <si>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</si>
  <si>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</si>
  <si>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</si>
  <si>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</si>
  <si>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</si>
  <si>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</si>
  <si>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</si>
  <si>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</si>
  <si>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</si>
  <si>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</si>
  <si>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</si>
  <si>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</si>
  <si>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</si>
  <si>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</si>
  <si>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</si>
  <si>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</si>
  <si>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</si>
  <si>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</si>
  <si>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</si>
  <si>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</si>
  <si>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</si>
  <si>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</si>
  <si>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</si>
  <si>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</si>
  <si>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</si>
  <si>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</si>
  <si>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</si>
  <si>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</si>
  <si>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</si>
  <si>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</si>
  <si>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</si>
  <si>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</si>
  <si>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</si>
  <si>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</si>
  <si>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</si>
  <si>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</si>
  <si>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</si>
  <si>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</si>
  <si>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</si>
  <si>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</si>
  <si>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</si>
  <si>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</si>
  <si>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</si>
  <si>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</si>
  <si>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</si>
  <si>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</si>
  <si>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</si>
  <si>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</si>
  <si>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</si>
  <si>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</si>
  <si>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</si>
  <si>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</si>
  <si>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</si>
  <si>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</si>
  <si>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</si>
  <si>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</si>
  <si>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</si>
  <si>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</si>
  <si>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</si>
  <si>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</si>
  <si>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</si>
  <si>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</si>
  <si>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</si>
  <si>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</si>
  <si>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</si>
  <si>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</si>
  <si>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</si>
  <si>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</si>
  <si>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</si>
  <si>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</si>
  <si>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</si>
  <si>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</si>
  <si>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</si>
  <si>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</si>
  <si>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</si>
  <si>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</si>
  <si>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</si>
  <si>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</si>
  <si>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</si>
  <si>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</si>
  <si>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</si>
  <si>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</si>
  <si>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</si>
  <si>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</si>
  <si>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</si>
  <si>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</si>
  <si>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</si>
  <si>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</si>
  <si>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</si>
  <si>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</si>
  <si>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</si>
  <si>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</si>
  <si>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</si>
  <si>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</si>
  <si>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</si>
  <si>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</si>
  <si>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</si>
  <si>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</si>
  <si>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</si>
  <si>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</si>
  <si>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</si>
  <si>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</si>
  <si>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</si>
  <si>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</si>
  <si>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</si>
  <si>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</si>
  <si>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</si>
  <si>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</si>
  <si>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</si>
  <si>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</si>
  <si>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</si>
  <si>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</si>
  <si>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</si>
  <si>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</si>
  <si>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</si>
  <si>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</si>
  <si>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</si>
  <si>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</si>
  <si>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</si>
  <si>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</si>
  <si>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</si>
  <si>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</si>
  <si>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</si>
  <si>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</si>
  <si>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</si>
  <si>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</si>
  <si>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</si>
  <si>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</si>
  <si>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</si>
  <si>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</si>
  <si>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</si>
  <si>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</si>
  <si>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</si>
  <si>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</si>
  <si>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</si>
  <si>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</si>
  <si>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</si>
  <si>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</si>
  <si>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</si>
  <si>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</si>
  <si>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</si>
  <si>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</si>
  <si>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</si>
  <si>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</si>
  <si>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</si>
  <si>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</si>
  <si>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</si>
  <si>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</si>
  <si>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</si>
  <si>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</si>
  <si>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</si>
  <si>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</si>
  <si>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</si>
  <si>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</si>
  <si>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</si>
  <si>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</si>
  <si>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</si>
  <si>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</si>
  <si>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</si>
  <si>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</si>
  <si>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</si>
  <si>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</si>
  <si>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</si>
  <si>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</si>
  <si>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</si>
  <si>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</si>
  <si>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</si>
  <si>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</si>
  <si>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</si>
  <si>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</si>
  <si>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</si>
  <si>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</si>
  <si>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</si>
  <si>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</si>
  <si>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</si>
  <si>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</si>
  <si>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</si>
  <si>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</si>
  <si>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</si>
  <si>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</si>
  <si>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</si>
  <si>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</si>
  <si>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</si>
  <si>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</si>
  <si>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</si>
  <si>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</si>
  <si>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</si>
  <si>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</si>
  <si>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</si>
  <si>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</si>
  <si>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</si>
  <si>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</si>
  <si>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</si>
  <si>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</si>
  <si>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</si>
  <si>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</si>
  <si>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</si>
  <si>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</si>
  <si>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</si>
  <si>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</si>
  <si>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</si>
  <si>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</si>
  <si>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</si>
  <si>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</si>
  <si>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</si>
  <si>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</si>
  <si>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</si>
  <si>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</si>
  <si>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</si>
  <si>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</si>
  <si>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</si>
  <si>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</si>
  <si>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</si>
  <si>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</si>
  <si>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</si>
  <si>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</si>
  <si>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</si>
  <si>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</si>
  <si>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</si>
  <si>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</si>
  <si>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</si>
  <si>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</si>
  <si>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</si>
  <si>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</si>
  <si>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</si>
  <si>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</si>
  <si>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</si>
  <si>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</si>
  <si>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</si>
  <si>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</si>
  <si>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</si>
  <si>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</si>
  <si>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</si>
  <si>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</si>
  <si>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</si>
  <si>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</si>
  <si>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</si>
  <si>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</si>
  <si>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</si>
  <si>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</si>
  <si>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</si>
  <si>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</si>
  <si>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</si>
  <si>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</si>
  <si>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</si>
  <si>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</si>
  <si>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</si>
  <si>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</si>
  <si>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</si>
  <si>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</si>
  <si>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</si>
  <si>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</si>
  <si>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</si>
  <si>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</si>
  <si>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</si>
  <si>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</si>
  <si>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</si>
  <si>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</si>
  <si>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</si>
  <si>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</si>
  <si>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</si>
  <si>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</si>
  <si>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</si>
  <si>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</si>
  <si>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</si>
  <si>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</si>
  <si>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</si>
  <si>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</si>
  <si>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</si>
  <si>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</si>
  <si>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</si>
  <si>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</si>
  <si>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</si>
  <si>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</si>
  <si>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</si>
  <si>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</si>
  <si>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</si>
  <si>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</si>
  <si>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</si>
  <si>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</si>
  <si>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</si>
  <si>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</si>
  <si>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</si>
  <si>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</si>
  <si>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</si>
  <si>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</si>
  <si>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</si>
  <si>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</si>
  <si>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</si>
  <si>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</si>
  <si>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</si>
  <si>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</si>
  <si>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</si>
  <si>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</si>
  <si>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</si>
  <si>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</si>
  <si>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</si>
  <si>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</si>
  <si>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</si>
  <si>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</si>
  <si>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</si>
  <si>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</si>
  <si>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</si>
  <si>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</si>
  <si>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</si>
  <si>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</si>
  <si>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</si>
  <si>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</si>
  <si>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</si>
  <si>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</si>
  <si>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</si>
  <si>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</si>
  <si>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</si>
  <si>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</si>
  <si>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</si>
  <si>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</si>
  <si>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</si>
  <si>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</si>
  <si>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</si>
  <si>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</si>
  <si>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</si>
  <si>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</si>
  <si>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</si>
  <si>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</si>
  <si>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</si>
  <si>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</si>
  <si>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</si>
  <si>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</si>
  <si>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</si>
  <si>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</si>
  <si>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</si>
  <si>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</si>
  <si>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</si>
  <si>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</si>
  <si>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</si>
  <si>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</si>
  <si>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</si>
  <si>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</si>
  <si>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</si>
  <si>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</si>
  <si>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</si>
  <si>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</si>
  <si>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</si>
  <si>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</si>
  <si>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</si>
  <si>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</si>
  <si>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</si>
  <si>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</si>
  <si>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</si>
  <si>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</si>
  <si>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</si>
  <si>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</si>
  <si>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</si>
  <si>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</si>
  <si>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</si>
  <si>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</si>
  <si>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</si>
  <si>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</si>
  <si>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</si>
  <si>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</si>
  <si>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</si>
  <si>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</si>
  <si>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</si>
  <si>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</si>
  <si>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</si>
  <si>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</si>
  <si>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</si>
  <si>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</si>
  <si>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</si>
  <si>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</si>
  <si>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</si>
  <si>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</si>
  <si>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</si>
  <si>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</si>
  <si>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</si>
  <si>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</si>
  <si>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</si>
  <si>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</si>
  <si>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</si>
  <si>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</si>
  <si>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</si>
  <si>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</si>
  <si>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</si>
  <si>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</si>
  <si>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</si>
  <si>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</si>
  <si>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</si>
  <si>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</si>
  <si>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</si>
  <si>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</si>
  <si>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</si>
  <si>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</si>
  <si>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</si>
  <si>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</si>
  <si>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</si>
  <si>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</si>
  <si>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</si>
  <si>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</si>
  <si>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</si>
  <si>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</si>
  <si>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</si>
  <si>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</si>
  <si>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</si>
  <si>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</si>
  <si>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</si>
  <si>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</si>
  <si>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</si>
  <si>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</si>
  <si>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</si>
  <si>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</si>
  <si>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</si>
  <si>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</si>
  <si>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</si>
  <si>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</si>
  <si>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</si>
  <si>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</si>
  <si>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</si>
  <si>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</si>
  <si>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</si>
  <si>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</si>
  <si>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</si>
  <si>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</si>
  <si>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</si>
  <si>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</si>
  <si>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</si>
  <si>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</si>
  <si>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</si>
  <si>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</si>
  <si>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</si>
  <si>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</si>
  <si>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</si>
  <si>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</si>
  <si>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</si>
  <si>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</si>
  <si>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</si>
  <si>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</si>
  <si>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</si>
  <si>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</si>
  <si>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</si>
  <si>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</si>
  <si>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</si>
  <si>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</si>
  <si>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</si>
  <si>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</si>
  <si>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</si>
  <si>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</si>
  <si>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</si>
  <si>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</si>
  <si>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</si>
  <si>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</si>
  <si>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</si>
  <si>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</si>
  <si>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</si>
  <si>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</si>
  <si>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</si>
  <si>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</si>
  <si>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</si>
  <si>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</si>
  <si>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</si>
  <si>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</si>
  <si>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</si>
  <si>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</si>
  <si>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</si>
  <si>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</si>
  <si>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</si>
  <si>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</si>
  <si>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</si>
  <si>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</si>
  <si>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</si>
  <si>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</si>
  <si>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</si>
  <si>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</si>
  <si>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</si>
  <si>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</si>
  <si>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</si>
  <si>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</si>
  <si>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</si>
  <si>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</si>
  <si>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</si>
  <si>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</si>
  <si>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</si>
  <si>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</si>
  <si>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</si>
  <si>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</si>
  <si>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</si>
  <si>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</si>
  <si>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</si>
  <si>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</si>
  <si>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</si>
  <si>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</si>
  <si>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</si>
  <si>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</si>
  <si>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</si>
  <si>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</si>
  <si>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</si>
  <si>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</si>
  <si>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</si>
  <si>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</si>
  <si>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</si>
  <si>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</si>
  <si>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</si>
  <si>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</si>
  <si>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</si>
  <si>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</si>
  <si>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</si>
  <si>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</si>
  <si>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</si>
  <si>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</si>
  <si>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</si>
  <si>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</si>
  <si>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</si>
  <si>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</si>
  <si>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</si>
  <si>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</si>
  <si>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</si>
  <si>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</si>
  <si>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</si>
  <si>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</si>
  <si>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</si>
  <si>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</si>
  <si>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</si>
  <si>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</si>
  <si>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</si>
  <si>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</si>
  <si>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</si>
  <si>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</si>
  <si>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</si>
  <si>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</si>
  <si>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</si>
  <si>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</si>
  <si>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</si>
  <si>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</si>
  <si>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</si>
  <si>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</si>
  <si>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</si>
  <si>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</si>
  <si>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</si>
  <si>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</si>
  <si>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</si>
  <si>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</si>
  <si>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</si>
  <si>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</si>
  <si>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</si>
  <si>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</si>
  <si>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</si>
  <si>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</si>
  <si>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</si>
  <si>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</si>
  <si>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</si>
  <si>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</si>
  <si>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</si>
  <si>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</si>
  <si>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</si>
  <si>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</si>
  <si>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</si>
  <si>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</si>
  <si>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</si>
  <si>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</si>
  <si>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</si>
  <si>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</si>
  <si>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</si>
  <si>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</si>
  <si>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</si>
  <si>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</si>
  <si>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</si>
  <si>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</si>
  <si>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</si>
  <si>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</si>
  <si>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</si>
  <si>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</si>
  <si>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</si>
  <si>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</si>
  <si>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</si>
  <si>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</si>
  <si>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</si>
  <si>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</si>
  <si>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</si>
  <si>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</si>
  <si>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</si>
  <si>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</si>
  <si>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</si>
  <si>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</si>
  <si>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</si>
  <si>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</si>
  <si>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</si>
  <si>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</si>
  <si>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</si>
  <si>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</si>
  <si>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</si>
  <si>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</si>
  <si>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</si>
  <si>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</si>
  <si>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</si>
  <si>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</si>
  <si>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</si>
  <si>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</si>
  <si>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</si>
  <si>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</si>
  <si>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</si>
  <si>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</si>
  <si>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</si>
  <si>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</si>
  <si>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</si>
  <si>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</si>
  <si>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</si>
  <si>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</si>
  <si>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</si>
  <si>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</si>
  <si>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</si>
  <si>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</si>
  <si>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</si>
  <si>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</si>
  <si>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</si>
  <si>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</si>
  <si>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</si>
  <si>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</si>
  <si>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</si>
  <si>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</si>
  <si>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</si>
  <si>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</si>
  <si>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</si>
  <si>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</si>
  <si>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</si>
  <si>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</si>
  <si>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</si>
  <si>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</si>
  <si>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</si>
  <si>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</si>
  <si>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</si>
  <si>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</si>
  <si>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</si>
  <si>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</si>
  <si>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</si>
  <si>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</si>
  <si>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</si>
  <si>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</si>
  <si>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</si>
  <si>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</si>
  <si>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</si>
  <si>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</si>
  <si>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</si>
  <si>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</si>
  <si>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</si>
  <si>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</si>
  <si>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</si>
  <si>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</si>
  <si>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</si>
  <si>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</si>
  <si>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</si>
  <si>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</si>
  <si>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</si>
  <si>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</si>
  <si>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</si>
  <si>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</si>
  <si>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</si>
  <si>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</si>
  <si>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</si>
  <si>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</si>
  <si>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</si>
  <si>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</si>
  <si>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</si>
  <si>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</si>
  <si>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</si>
  <si>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</si>
  <si>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</si>
  <si>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</si>
  <si>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</si>
  <si>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</si>
  <si>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</si>
  <si>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</si>
  <si>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</si>
  <si>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</si>
  <si>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</si>
  <si>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</si>
  <si>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</si>
  <si>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</si>
  <si>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</si>
  <si>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</si>
  <si>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</si>
  <si>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</si>
  <si>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</si>
  <si>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</si>
  <si>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</si>
  <si>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</si>
  <si>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</si>
  <si>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</si>
  <si>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</si>
  <si>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</si>
  <si>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</si>
  <si>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</si>
  <si>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</si>
  <si>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</si>
  <si>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</si>
  <si>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</si>
  <si>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</si>
  <si>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</si>
  <si>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</si>
  <si>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</si>
  <si>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</si>
  <si>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</si>
  <si>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</si>
  <si>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</si>
  <si>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</si>
  <si>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</si>
  <si>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</si>
  <si>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</si>
  <si>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</si>
  <si>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</si>
  <si>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</si>
  <si>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</si>
  <si>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</si>
  <si>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</si>
  <si>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</si>
  <si>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</si>
  <si>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</si>
  <si>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</si>
  <si>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</si>
  <si>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</si>
  <si>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</si>
  <si>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</si>
  <si>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</si>
  <si>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</si>
  <si>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</si>
  <si>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</si>
  <si>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</si>
  <si>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</si>
  <si>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</si>
  <si>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</si>
  <si>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</si>
  <si>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</si>
  <si>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</si>
  <si>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</si>
  <si>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</si>
  <si>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</si>
  <si>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</si>
  <si>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</si>
  <si>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</si>
  <si>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</si>
  <si>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</si>
  <si>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</si>
  <si>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</si>
  <si>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</si>
  <si>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</si>
  <si>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</si>
  <si>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</si>
  <si>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</si>
  <si>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</si>
  <si>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</si>
  <si>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</si>
  <si>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</si>
  <si>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</si>
  <si>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</si>
  <si>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</si>
  <si>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</si>
  <si>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</si>
  <si>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</si>
  <si>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</si>
  <si>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</si>
  <si>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</si>
  <si>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</si>
  <si>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</si>
  <si>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</si>
  <si>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</si>
  <si>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</si>
  <si>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</si>
  <si>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</si>
  <si>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</si>
  <si>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</si>
  <si>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</si>
  <si>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</si>
  <si>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</si>
  <si>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</si>
  <si>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</si>
  <si>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</si>
  <si>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</si>
  <si>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</si>
  <si>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</si>
  <si>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</si>
  <si>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</si>
  <si>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</si>
  <si>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</si>
  <si>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</si>
  <si>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</si>
  <si>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</si>
  <si>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</si>
  <si>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</si>
  <si>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</si>
  <si>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</si>
  <si>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</si>
  <si>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</si>
  <si>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</si>
  <si>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</si>
  <si>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</si>
  <si>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</si>
  <si>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</si>
  <si>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</si>
  <si>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</si>
  <si>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</si>
  <si>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</si>
  <si>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</si>
  <si>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</si>
  <si>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</si>
  <si>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</si>
  <si>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</si>
  <si>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</si>
  <si>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</si>
  <si>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</si>
  <si>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</si>
  <si>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</si>
  <si>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</si>
  <si>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</si>
  <si>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</si>
  <si>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</si>
  <si>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</si>
  <si>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</si>
  <si>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</si>
  <si>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</si>
  <si>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</si>
  <si>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</si>
  <si>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</si>
  <si>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</si>
  <si>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</si>
  <si>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</si>
  <si>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</si>
  <si>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</si>
  <si>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</si>
  <si>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</si>
  <si>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</si>
  <si>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</si>
  <si>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</si>
  <si>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</si>
  <si>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</si>
  <si>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</si>
  <si>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</si>
  <si>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</si>
  <si>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</si>
  <si>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</si>
  <si>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</si>
  <si>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</si>
  <si>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</si>
  <si>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</si>
  <si>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</si>
  <si>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</si>
  <si>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</si>
  <si>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</si>
  <si>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</si>
  <si>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</si>
  <si>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</si>
  <si>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</si>
  <si>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</si>
  <si>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</si>
  <si>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</si>
  <si>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</si>
  <si>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</si>
  <si>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</si>
  <si>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</si>
  <si>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</si>
  <si>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</si>
  <si>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</si>
  <si>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</si>
  <si>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</si>
  <si>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</si>
  <si>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</si>
  <si>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</si>
  <si>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</si>
  <si>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</si>
  <si>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</si>
  <si>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</si>
  <si>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</si>
  <si>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</si>
  <si>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</si>
  <si>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</si>
  <si>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</si>
  <si>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</si>
  <si>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</si>
  <si>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</si>
  <si>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</si>
  <si>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</si>
  <si>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</si>
  <si>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</si>
  <si>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</si>
  <si>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</si>
  <si>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</si>
  <si>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</si>
  <si>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</si>
  <si>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</si>
  <si>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</si>
  <si>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</si>
  <si>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</si>
  <si>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</si>
  <si>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</si>
  <si>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</si>
  <si>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</si>
  <si>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</si>
  <si>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</si>
  <si>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</si>
  <si>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</si>
  <si>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</si>
  <si>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</si>
  <si>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</si>
  <si>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</si>
  <si>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</si>
  <si>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</si>
  <si>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</si>
  <si>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</si>
  <si>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</si>
  <si>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</si>
  <si>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</si>
  <si>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</si>
  <si>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</si>
  <si>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</si>
  <si>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</si>
  <si>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</si>
  <si>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</si>
  <si>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</si>
  <si>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</si>
  <si>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</si>
  <si>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</si>
  <si>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</si>
  <si>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</si>
  <si>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</si>
  <si>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</si>
  <si>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</si>
  <si>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</si>
  <si>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</si>
  <si>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</si>
  <si>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</si>
  <si>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</si>
  <si>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</si>
  <si>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</si>
  <si>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</si>
  <si>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</si>
  <si>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</si>
  <si>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</si>
  <si>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</si>
  <si>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</si>
  <si>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</si>
  <si>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</si>
  <si>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</si>
  <si>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</si>
  <si>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</si>
  <si>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</si>
  <si>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</si>
  <si>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</si>
  <si>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</si>
  <si>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</si>
  <si>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</si>
  <si>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</si>
  <si>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</si>
  <si>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</si>
  <si>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</si>
  <si>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</si>
  <si>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</si>
  <si>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</si>
  <si>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</si>
  <si>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</si>
  <si>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</si>
  <si>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</si>
  <si>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</si>
  <si>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</si>
  <si>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</si>
  <si>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</si>
  <si>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</si>
  <si>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</si>
  <si>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</si>
  <si>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</si>
  <si>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</si>
  <si>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</si>
  <si>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</si>
  <si>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</si>
  <si>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</si>
  <si>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</si>
  <si>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</si>
  <si>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</si>
  <si>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</si>
  <si>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</si>
  <si>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</si>
  <si>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</si>
  <si>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</si>
  <si>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</si>
  <si>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</si>
  <si>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</si>
  <si>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</si>
  <si>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</si>
  <si>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</si>
  <si>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</si>
  <si>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</si>
  <si>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</si>
  <si>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</si>
  <si>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</si>
  <si>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</si>
  <si>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</si>
  <si>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</si>
  <si>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</si>
  <si>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</si>
  <si>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</si>
  <si>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</si>
  <si>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</si>
  <si>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</si>
  <si>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</si>
  <si>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</si>
  <si>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</si>
  <si>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</si>
  <si>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</si>
  <si>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</si>
  <si>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</si>
  <si>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</si>
  <si>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</si>
  <si>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</si>
  <si>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</si>
  <si>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</si>
  <si>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</si>
  <si>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</si>
  <si>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</si>
  <si>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</si>
  <si>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</si>
  <si>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</si>
  <si>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</si>
  <si>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</si>
  <si>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</si>
  <si>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</si>
  <si>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</si>
  <si>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</si>
  <si>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</si>
  <si>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</si>
  <si>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</si>
  <si>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</si>
  <si>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</si>
  <si>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</si>
  <si>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</si>
  <si>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</si>
  <si>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</si>
  <si>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</si>
  <si>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</si>
  <si>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</si>
  <si>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</si>
  <si>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</si>
  <si>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</si>
  <si>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</si>
  <si>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</si>
  <si>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</si>
  <si>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</si>
  <si>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</si>
  <si>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</si>
  <si>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</si>
  <si>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</si>
  <si>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</si>
  <si>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</si>
  <si>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</si>
  <si>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</si>
  <si>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</si>
  <si>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</si>
  <si>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</si>
  <si>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</si>
  <si>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</si>
  <si>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</si>
  <si>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</si>
  <si>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</si>
  <si>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</si>
  <si>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</si>
  <si>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</si>
  <si>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</si>
  <si>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</si>
  <si>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</si>
  <si>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</si>
  <si>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</si>
  <si>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</si>
  <si>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</si>
  <si>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</si>
  <si>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</si>
  <si>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</si>
  <si>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</si>
  <si>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</si>
  <si>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</si>
  <si>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</si>
  <si>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</si>
  <si>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</si>
  <si>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</si>
  <si>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</si>
  <si>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</si>
  <si>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</si>
  <si>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</si>
  <si>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</si>
  <si>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</si>
  <si>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</si>
  <si>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</si>
  <si>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</si>
  <si>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</si>
  <si>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</si>
  <si>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</si>
  <si>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</si>
  <si>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</si>
  <si>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</si>
  <si>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</si>
  <si>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</si>
  <si>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</si>
  <si>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</si>
  <si>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</si>
  <si>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</si>
  <si>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</si>
  <si>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</si>
  <si>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</si>
  <si>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</si>
  <si>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</si>
  <si>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</si>
  <si>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</si>
  <si>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</si>
  <si>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</si>
  <si>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</si>
  <si>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</si>
  <si>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</si>
  <si>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</si>
  <si>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</si>
  <si>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</si>
  <si>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</si>
  <si>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</si>
  <si>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</si>
  <si>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</si>
  <si>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</si>
  <si>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</si>
  <si>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</si>
  <si>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</si>
  <si>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</si>
  <si>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</si>
  <si>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</si>
  <si>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</si>
  <si>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</si>
  <si>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</si>
  <si>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</si>
  <si>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</si>
  <si>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</si>
  <si>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</si>
  <si>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</si>
  <si>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</si>
  <si>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</si>
  <si>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</si>
  <si>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</si>
  <si>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</si>
  <si>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</si>
  <si>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</si>
  <si>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</si>
  <si>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</si>
  <si>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</si>
  <si>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</si>
  <si>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</si>
  <si>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</si>
  <si>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</si>
  <si>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</si>
  <si>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</si>
  <si>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</si>
  <si>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</si>
  <si>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</si>
  <si>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</si>
  <si>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</si>
  <si>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</si>
  <si>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</si>
  <si>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</si>
  <si>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</si>
  <si>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</si>
  <si>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</si>
  <si>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</si>
  <si>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</si>
  <si>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</si>
  <si>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</si>
  <si>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</si>
  <si>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</si>
  <si>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</si>
  <si>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</si>
  <si>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</si>
  <si>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</si>
  <si>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</si>
  <si>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</si>
  <si>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</si>
  <si>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</si>
  <si>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</si>
  <si>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</si>
  <si>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</si>
  <si>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</si>
  <si>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</si>
  <si>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</si>
  <si>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</si>
  <si>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</si>
  <si>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</si>
  <si>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</si>
  <si>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</si>
  <si>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</si>
  <si>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</si>
  <si>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</si>
  <si>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Active Employee</t>
  </si>
  <si>
    <t>Attrition Rate</t>
  </si>
  <si>
    <t>Average Age</t>
  </si>
  <si>
    <t>Average of Job Satisfaction</t>
  </si>
  <si>
    <t>Rating</t>
  </si>
  <si>
    <t>Balance Rating</t>
  </si>
  <si>
    <t>Row Labels</t>
  </si>
  <si>
    <t>Grand Total</t>
  </si>
  <si>
    <t>Sum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</si>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</sst>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2"/>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2"/>
      <color theme="0" tint="-0.249977111117893"/>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0" borderId="0" xfId="0" applyFont="1"/>
    <xf numFmtId="2" fontId="0" fillId="0" borderId="0" xfId="0" applyNumberFormat="1"/>
    <xf numFmtId="164" fontId="0" fillId="0" borderId="0" xfId="0" applyNumberFormat="1"/>
    <xf numFmtId="1" fontId="0" fillId="0" borderId="0" xfId="0" applyNumberFormat="1"/>
    <xf numFmtId="9" fontId="0" fillId="0" borderId="0" xfId="1" applyFont="1"/>
    <xf numFmtId="0" fontId="4" fillId="2" borderId="0" xfId="0" applyFont="1" applyFill="1"/>
    <xf numFmtId="0" fontId="0" fillId="0" borderId="0" xfId="0" pivotButton="1"/>
    <xf numFmtId="0" fontId="0" fillId="0" borderId="0" xfId="0" applyAlignment="1">
      <alignment horizontal="left"/>
    </xf>
    <xf numFmtId="10" fontId="0" fillId="0" borderId="0" xfId="0" applyNumberFormat="1"/>
    <xf numFmtId="0" fontId="3" fillId="0" borderId="0" xfId="0" applyFont="1" applyAlignment="1">
      <alignment horizontal="left"/>
    </xf>
    <xf numFmtId="0" fontId="3" fillId="0" borderId="0" xfId="0" applyFont="1"/>
  </cellXfs>
  <cellStyles count="2">
    <cellStyle name="Normal" xfId="0" builtinId="0"/>
    <cellStyle name="Percent" xfId="1" builtinId="5"/>
  </cellStyles>
  <dxfs count="5">
    <dxf>
      <numFmt numFmtId="164" formatCode="0.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DC211CCA-7C8E-49D7-8CD8-B89B6714A4A7}">
      <tableStyleElement type="headerRow" dxfId="4"/>
      <tableStyleElement type="firstRowStripe" dxfId="3"/>
      <tableStyleElement type="secondRowStripe" dxfId="2"/>
    </tableStyle>
  </tableStyles>
  <colors>
    <mruColors>
      <color rgb="FF60292B"/>
      <color rgb="FF8C188C"/>
      <color rgb="FF6C1257"/>
      <color rgb="FF88166D"/>
      <color rgb="FFEB89EB"/>
      <color rgb="FFA91B87"/>
      <color rgb="FF541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CC-44B7-BD6C-B729FA022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CC-44B7-BD6C-B729FA022C14}"/>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0969-407B-BD3A-1707E440851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0.00</c:formatCode>
                <c:ptCount val="1"/>
                <c:pt idx="0">
                  <c:v>2.6265306122448981</c:v>
                </c:pt>
              </c:numCache>
            </c:numRef>
          </c:val>
          <c:extLst>
            <c:ext xmlns:c16="http://schemas.microsoft.com/office/drawing/2014/chart" uri="{C3380CC4-5D6E-409C-BE32-E72D297353CC}">
              <c16:uniqueId val="{00000000-72FA-4EBA-B516-F28A8BB359F8}"/>
            </c:ext>
          </c:extLst>
        </c:ser>
        <c:ser>
          <c:idx val="1"/>
          <c:order val="1"/>
          <c:spPr>
            <a:solidFill>
              <a:schemeClr val="accent2"/>
            </a:solidFill>
            <a:ln>
              <a:noFill/>
            </a:ln>
            <a:effectLst/>
          </c:spPr>
          <c:invertIfNegative val="0"/>
          <c:val>
            <c:numRef>
              <c:f>Rating!$B$7</c:f>
              <c:numCache>
                <c:formatCode>0.00</c:formatCode>
                <c:ptCount val="1"/>
                <c:pt idx="0">
                  <c:v>1.3734693877551019</c:v>
                </c:pt>
              </c:numCache>
            </c:numRef>
          </c:val>
          <c:extLst>
            <c:ext xmlns:c16="http://schemas.microsoft.com/office/drawing/2014/chart" uri="{C3380CC4-5D6E-409C-BE32-E72D297353CC}">
              <c16:uniqueId val="{00000002-72FA-4EBA-B516-F28A8BB359F8}"/>
            </c:ext>
          </c:extLst>
        </c:ser>
        <c:dLbls>
          <c:showLegendKey val="0"/>
          <c:showVal val="0"/>
          <c:showCatName val="0"/>
          <c:showSerName val="0"/>
          <c:showPercent val="0"/>
          <c:showBubbleSize val="0"/>
        </c:dLbls>
        <c:gapWidth val="0"/>
        <c:overlap val="100"/>
        <c:axId val="1370114016"/>
        <c:axId val="1370112576"/>
      </c:barChart>
      <c:catAx>
        <c:axId val="1370114016"/>
        <c:scaling>
          <c:orientation val="minMax"/>
        </c:scaling>
        <c:delete val="1"/>
        <c:axPos val="l"/>
        <c:majorTickMark val="out"/>
        <c:minorTickMark val="none"/>
        <c:tickLblPos val="nextTo"/>
        <c:crossAx val="1370112576"/>
        <c:crosses val="autoZero"/>
        <c:auto val="1"/>
        <c:lblAlgn val="ctr"/>
        <c:lblOffset val="100"/>
        <c:noMultiLvlLbl val="0"/>
      </c:catAx>
      <c:valAx>
        <c:axId val="1370112576"/>
        <c:scaling>
          <c:orientation val="minMax"/>
          <c:max val="4"/>
        </c:scaling>
        <c:delete val="1"/>
        <c:axPos val="b"/>
        <c:numFmt formatCode="0.00" sourceLinked="1"/>
        <c:majorTickMark val="out"/>
        <c:minorTickMark val="none"/>
        <c:tickLblPos val="nextTo"/>
        <c:crossAx val="137011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E2-40D3-9D67-04E7362A73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2-40D3-9D67-04E7362A739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10E6-4D56-AA04-A02778CEE5C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 Excel 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A7D-43A9-A76F-834771D96936}"/>
            </c:ext>
          </c:extLst>
        </c:ser>
        <c:dLbls>
          <c:dLblPos val="outEnd"/>
          <c:showLegendKey val="0"/>
          <c:showVal val="1"/>
          <c:showCatName val="0"/>
          <c:showSerName val="0"/>
          <c:showPercent val="0"/>
          <c:showBubbleSize val="0"/>
        </c:dLbls>
        <c:gapWidth val="182"/>
        <c:axId val="1370137056"/>
        <c:axId val="1370137536"/>
      </c:barChart>
      <c:catAx>
        <c:axId val="1370137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137536"/>
        <c:crosses val="autoZero"/>
        <c:auto val="1"/>
        <c:lblAlgn val="ctr"/>
        <c:lblOffset val="100"/>
        <c:noMultiLvlLbl val="0"/>
      </c:catAx>
      <c:valAx>
        <c:axId val="1370137536"/>
        <c:scaling>
          <c:orientation val="minMax"/>
        </c:scaling>
        <c:delete val="1"/>
        <c:axPos val="b"/>
        <c:numFmt formatCode="General" sourceLinked="1"/>
        <c:majorTickMark val="out"/>
        <c:minorTickMark val="none"/>
        <c:tickLblPos val="nextTo"/>
        <c:crossAx val="137013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 Excel 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37-423E-BE66-1D54669F53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37-423E-BE66-1D54669F53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37-423E-BE66-1D54669F5329}"/>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2ED5-4D77-AB8D-242EBCB3A7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 Excel Dashboard.xlsx]Attrition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CF4-45CE-A371-51824D837510}"/>
            </c:ext>
          </c:extLst>
        </c:ser>
        <c:dLbls>
          <c:showLegendKey val="0"/>
          <c:showVal val="0"/>
          <c:showCatName val="0"/>
          <c:showSerName val="0"/>
          <c:showPercent val="0"/>
          <c:showBubbleSize val="0"/>
        </c:dLbls>
        <c:gapWidth val="219"/>
        <c:overlap val="-27"/>
        <c:axId val="1464547248"/>
        <c:axId val="1464547728"/>
      </c:barChart>
      <c:catAx>
        <c:axId val="14645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547728"/>
        <c:crosses val="autoZero"/>
        <c:auto val="1"/>
        <c:lblAlgn val="ctr"/>
        <c:lblOffset val="100"/>
        <c:noMultiLvlLbl val="0"/>
      </c:catAx>
      <c:valAx>
        <c:axId val="1464547728"/>
        <c:scaling>
          <c:orientation val="minMax"/>
        </c:scaling>
        <c:delete val="1"/>
        <c:axPos val="l"/>
        <c:numFmt formatCode="General" sourceLinked="1"/>
        <c:majorTickMark val="none"/>
        <c:minorTickMark val="none"/>
        <c:tickLblPos val="nextTo"/>
        <c:crossAx val="146454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accent5">
                      <a:lumMod val="75000"/>
                    </a:schemeClr>
                  </a:gs>
                  <a:gs pos="100000">
                    <a:schemeClr val="accent6">
                      <a:lumMod val="60000"/>
                      <a:lumOff val="40000"/>
                    </a:schemeClr>
                  </a:gs>
                </a:gsLst>
                <a:lin ang="5400000" scaled="1"/>
              </a:gradFill>
              <a:ln w="19050">
                <a:noFill/>
              </a:ln>
              <a:effectLst/>
            </c:spPr>
            <c:extLst>
              <c:ext xmlns:c16="http://schemas.microsoft.com/office/drawing/2014/chart" uri="{C3380CC4-5D6E-409C-BE32-E72D297353CC}">
                <c16:uniqueId val="{00000001-EF86-40E4-A321-7E1DAAB0E0FD}"/>
              </c:ext>
            </c:extLst>
          </c:dPt>
          <c:dPt>
            <c:idx val="1"/>
            <c:bubble3D val="0"/>
            <c:spPr>
              <a:solidFill>
                <a:schemeClr val="bg1">
                  <a:lumMod val="85000"/>
                  <a:alpha val="95000"/>
                </a:schemeClr>
              </a:solidFill>
              <a:ln w="19050">
                <a:noFill/>
              </a:ln>
              <a:effectLst/>
            </c:spPr>
            <c:extLst>
              <c:ext xmlns:c16="http://schemas.microsoft.com/office/drawing/2014/chart" uri="{C3380CC4-5D6E-409C-BE32-E72D297353CC}">
                <c16:uniqueId val="{00000003-EF86-40E4-A321-7E1DAAB0E0F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EF86-40E4-A321-7E1DAAB0E0F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75000"/>
              </a:schemeClr>
            </a:solidFill>
            <a:ln>
              <a:noFill/>
            </a:ln>
            <a:effectLst/>
          </c:spPr>
          <c:invertIfNegative val="0"/>
          <c:val>
            <c:numRef>
              <c:f>Rating!$B$6</c:f>
              <c:numCache>
                <c:formatCode>0.00</c:formatCode>
                <c:ptCount val="1"/>
                <c:pt idx="0">
                  <c:v>2.6265306122448981</c:v>
                </c:pt>
              </c:numCache>
            </c:numRef>
          </c:val>
          <c:extLst>
            <c:ext xmlns:c16="http://schemas.microsoft.com/office/drawing/2014/chart" uri="{C3380CC4-5D6E-409C-BE32-E72D297353CC}">
              <c16:uniqueId val="{00000000-C3BE-43CA-88C5-D95B262A2A0B}"/>
            </c:ext>
          </c:extLst>
        </c:ser>
        <c:ser>
          <c:idx val="1"/>
          <c:order val="1"/>
          <c:spPr>
            <a:solidFill>
              <a:schemeClr val="bg1"/>
            </a:solidFill>
            <a:ln>
              <a:noFill/>
            </a:ln>
            <a:effectLst/>
          </c:spPr>
          <c:invertIfNegative val="0"/>
          <c:val>
            <c:numRef>
              <c:f>Rating!$B$7</c:f>
              <c:numCache>
                <c:formatCode>0.00</c:formatCode>
                <c:ptCount val="1"/>
                <c:pt idx="0">
                  <c:v>1.3734693877551019</c:v>
                </c:pt>
              </c:numCache>
            </c:numRef>
          </c:val>
          <c:extLst>
            <c:ext xmlns:c16="http://schemas.microsoft.com/office/drawing/2014/chart" uri="{C3380CC4-5D6E-409C-BE32-E72D297353CC}">
              <c16:uniqueId val="{00000001-C3BE-43CA-88C5-D95B262A2A0B}"/>
            </c:ext>
          </c:extLst>
        </c:ser>
        <c:dLbls>
          <c:showLegendKey val="0"/>
          <c:showVal val="0"/>
          <c:showCatName val="0"/>
          <c:showSerName val="0"/>
          <c:showPercent val="0"/>
          <c:showBubbleSize val="0"/>
        </c:dLbls>
        <c:gapWidth val="0"/>
        <c:overlap val="100"/>
        <c:axId val="1370114016"/>
        <c:axId val="1370112576"/>
      </c:barChart>
      <c:catAx>
        <c:axId val="1370114016"/>
        <c:scaling>
          <c:orientation val="minMax"/>
        </c:scaling>
        <c:delete val="1"/>
        <c:axPos val="l"/>
        <c:majorTickMark val="out"/>
        <c:minorTickMark val="none"/>
        <c:tickLblPos val="nextTo"/>
        <c:crossAx val="1370112576"/>
        <c:crosses val="autoZero"/>
        <c:auto val="1"/>
        <c:lblAlgn val="ctr"/>
        <c:lblOffset val="100"/>
        <c:noMultiLvlLbl val="0"/>
      </c:catAx>
      <c:valAx>
        <c:axId val="1370112576"/>
        <c:scaling>
          <c:orientation val="minMax"/>
          <c:max val="4"/>
        </c:scaling>
        <c:delete val="1"/>
        <c:axPos val="b"/>
        <c:numFmt formatCode="0.00" sourceLinked="1"/>
        <c:majorTickMark val="out"/>
        <c:minorTickMark val="none"/>
        <c:tickLblPos val="nextTo"/>
        <c:crossAx val="137011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EB89EB"/>
                  </a:gs>
                  <a:gs pos="100000">
                    <a:srgbClr val="6C1257"/>
                  </a:gs>
                </a:gsLst>
                <a:lin ang="5400000" scaled="1"/>
              </a:gradFill>
              <a:ln w="19050">
                <a:noFill/>
              </a:ln>
              <a:effectLst/>
            </c:spPr>
            <c:extLst>
              <c:ext xmlns:c16="http://schemas.microsoft.com/office/drawing/2014/chart" uri="{C3380CC4-5D6E-409C-BE32-E72D297353CC}">
                <c16:uniqueId val="{00000001-2BD5-4443-A312-0DBF32253A28}"/>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2BD5-4443-A312-0DBF32253A2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2BD5-4443-A312-0DBF32253A2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A41C-4FF2-91CC-973E27F4165F}"/>
              </c:ext>
            </c:extLst>
          </c:dPt>
          <c:dPt>
            <c:idx val="1"/>
            <c:bubble3D val="0"/>
            <c:spPr>
              <a:gradFill>
                <a:gsLst>
                  <a:gs pos="0">
                    <a:schemeClr val="accent1">
                      <a:lumMod val="75000"/>
                    </a:schemeClr>
                  </a:gs>
                  <a:gs pos="100000">
                    <a:schemeClr val="accent5">
                      <a:lumMod val="60000"/>
                      <a:lumOff val="40000"/>
                    </a:schemeClr>
                  </a:gs>
                </a:gsLst>
                <a:lin ang="5400000" scaled="1"/>
              </a:gradFill>
              <a:ln w="19050">
                <a:noFill/>
              </a:ln>
              <a:effectLst/>
            </c:spPr>
            <c:extLst>
              <c:ext xmlns:c16="http://schemas.microsoft.com/office/drawing/2014/chart" uri="{C3380CC4-5D6E-409C-BE32-E72D297353CC}">
                <c16:uniqueId val="{00000003-A41C-4FF2-91CC-973E27F4165F}"/>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A41C-4FF2-91CC-973E27F4165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 Excel Dashboard.xlsx]Education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C6F-4781-B720-F0A2F6C0B383}"/>
            </c:ext>
          </c:extLst>
        </c:ser>
        <c:dLbls>
          <c:dLblPos val="outEnd"/>
          <c:showLegendKey val="0"/>
          <c:showVal val="1"/>
          <c:showCatName val="0"/>
          <c:showSerName val="0"/>
          <c:showPercent val="0"/>
          <c:showBubbleSize val="0"/>
        </c:dLbls>
        <c:gapWidth val="75"/>
        <c:axId val="1370137056"/>
        <c:axId val="1370137536"/>
      </c:barChart>
      <c:catAx>
        <c:axId val="1370137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0137536"/>
        <c:crosses val="autoZero"/>
        <c:auto val="1"/>
        <c:lblAlgn val="ctr"/>
        <c:lblOffset val="100"/>
        <c:noMultiLvlLbl val="0"/>
      </c:catAx>
      <c:valAx>
        <c:axId val="1370137536"/>
        <c:scaling>
          <c:orientation val="minMax"/>
        </c:scaling>
        <c:delete val="1"/>
        <c:axPos val="b"/>
        <c:numFmt formatCode="General" sourceLinked="1"/>
        <c:majorTickMark val="out"/>
        <c:minorTickMark val="none"/>
        <c:tickLblPos val="nextTo"/>
        <c:crossAx val="137013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 Excel Dashboard.xlsx]Dept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19050">
            <a:solidFill>
              <a:schemeClr val="lt1"/>
            </a:solidFill>
          </a:ln>
          <a:effectLst/>
        </c:spPr>
      </c:pivotFmt>
      <c:pivotFmt>
        <c:idx val="7"/>
        <c:spPr>
          <a:gradFill>
            <a:gsLst>
              <a:gs pos="0">
                <a:schemeClr val="accent6">
                  <a:lumMod val="75000"/>
                </a:schemeClr>
              </a:gs>
              <a:gs pos="100000">
                <a:schemeClr val="accent6">
                  <a:lumMod val="60000"/>
                  <a:lumOff val="40000"/>
                </a:schemeClr>
              </a:gs>
            </a:gsLst>
            <a:lin ang="10800000" scaled="0"/>
          </a:gradFill>
          <a:ln w="19050">
            <a:solidFill>
              <a:schemeClr val="lt1"/>
            </a:solidFill>
          </a:ln>
          <a:effectLst/>
        </c:spPr>
      </c:pivotFmt>
      <c:pivotFmt>
        <c:idx val="8"/>
        <c:spPr>
          <a:gradFill>
            <a:gsLst>
              <a:gs pos="0">
                <a:schemeClr val="accent3">
                  <a:lumMod val="50000"/>
                </a:schemeClr>
              </a:gs>
              <a:gs pos="100000">
                <a:schemeClr val="accent3">
                  <a:lumMod val="75000"/>
                </a:schemeClr>
              </a:gs>
            </a:gsLst>
            <a:lin ang="10800000" scaled="0"/>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0">
                    <a:schemeClr val="accent1">
                      <a:lumMod val="75000"/>
                    </a:schemeClr>
                  </a:gs>
                  <a:gs pos="100000">
                    <a:schemeClr val="accent1">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1-0CF2-4181-BB4F-D8EF6E51BFB7}"/>
              </c:ext>
            </c:extLst>
          </c:dPt>
          <c:dPt>
            <c:idx val="1"/>
            <c:bubble3D val="0"/>
            <c:spPr>
              <a:gradFill>
                <a:gsLst>
                  <a:gs pos="0">
                    <a:schemeClr val="accent6">
                      <a:lumMod val="75000"/>
                    </a:schemeClr>
                  </a:gs>
                  <a:gs pos="100000">
                    <a:schemeClr val="accent6">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3-0CF2-4181-BB4F-D8EF6E51BFB7}"/>
              </c:ext>
            </c:extLst>
          </c:dPt>
          <c:dPt>
            <c:idx val="2"/>
            <c:bubble3D val="0"/>
            <c:spPr>
              <a:gradFill>
                <a:gsLst>
                  <a:gs pos="0">
                    <a:schemeClr val="accent3">
                      <a:lumMod val="50000"/>
                    </a:schemeClr>
                  </a:gs>
                  <a:gs pos="100000">
                    <a:schemeClr val="accent3">
                      <a:lumMod val="75000"/>
                    </a:schemeClr>
                  </a:gs>
                </a:gsLst>
                <a:lin ang="10800000" scaled="0"/>
              </a:gradFill>
              <a:ln w="19050">
                <a:solidFill>
                  <a:schemeClr val="lt1"/>
                </a:solidFill>
              </a:ln>
              <a:effectLst/>
            </c:spPr>
            <c:extLst>
              <c:ext xmlns:c16="http://schemas.microsoft.com/office/drawing/2014/chart" uri="{C3380CC4-5D6E-409C-BE32-E72D297353CC}">
                <c16:uniqueId val="{00000005-0CF2-4181-BB4F-D8EF6E51BFB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0CF2-4181-BB4F-D8EF6E51BF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 Excel Dashboard.xlsx]Attrition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50000"/>
                  </a:schemeClr>
                </a:gs>
                <a:gs pos="100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CCF-47B3-AD7B-9AF7FA835555}"/>
            </c:ext>
          </c:extLst>
        </c:ser>
        <c:dLbls>
          <c:showLegendKey val="0"/>
          <c:showVal val="0"/>
          <c:showCatName val="0"/>
          <c:showSerName val="0"/>
          <c:showPercent val="0"/>
          <c:showBubbleSize val="0"/>
        </c:dLbls>
        <c:gapWidth val="101"/>
        <c:overlap val="-27"/>
        <c:axId val="1464547248"/>
        <c:axId val="1464547728"/>
      </c:barChart>
      <c:catAx>
        <c:axId val="14645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64547728"/>
        <c:crosses val="autoZero"/>
        <c:auto val="1"/>
        <c:lblAlgn val="ctr"/>
        <c:lblOffset val="100"/>
        <c:noMultiLvlLbl val="0"/>
      </c:catAx>
      <c:valAx>
        <c:axId val="1464547728"/>
        <c:scaling>
          <c:orientation val="minMax"/>
        </c:scaling>
        <c:delete val="1"/>
        <c:axPos val="l"/>
        <c:numFmt formatCode="General" sourceLinked="1"/>
        <c:majorTickMark val="none"/>
        <c:minorTickMark val="none"/>
        <c:tickLblPos val="nextTo"/>
        <c:crossAx val="146454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6F06DC1-30F6-4E23-ACA1-818F02E0680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1B5CECA1-45AF-428D-95F9-E4C20899D7A4}">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A6F06DC1-30F6-4E23-ACA1-818F02E06802}">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1B5CECA1-45AF-428D-95F9-E4C20899D7A4}">
          <cx:spPr>
            <a:gradFill>
              <a:gsLst>
                <a:gs pos="0">
                  <a:schemeClr val="accent4">
                    <a:lumMod val="75000"/>
                  </a:schemeClr>
                </a:gs>
                <a:gs pos="100000">
                  <a:schemeClr val="accent4">
                    <a:lumMod val="60000"/>
                    <a:lumOff val="40000"/>
                  </a:schemeClr>
                </a:gs>
              </a:gsLst>
              <a:lin ang="10800000" scaled="0"/>
            </a:gradFill>
          </cx:spPr>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327660</xdr:colOff>
      <xdr:row>1</xdr:row>
      <xdr:rowOff>167641</xdr:rowOff>
    </xdr:from>
    <xdr:to>
      <xdr:col>8</xdr:col>
      <xdr:colOff>144780</xdr:colOff>
      <xdr:row>6</xdr:row>
      <xdr:rowOff>190501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C476A6A-B0F1-DC03-E940-5821B9758B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33260" y="36576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476250</xdr:colOff>
      <xdr:row>3</xdr:row>
      <xdr:rowOff>163830</xdr:rowOff>
    </xdr:from>
    <xdr:to>
      <xdr:col>6</xdr:col>
      <xdr:colOff>45720</xdr:colOff>
      <xdr:row>7</xdr:row>
      <xdr:rowOff>190500</xdr:rowOff>
    </xdr:to>
    <xdr:graphicFrame macro="">
      <xdr:nvGraphicFramePr>
        <xdr:cNvPr id="2" name="Chart 1">
          <a:extLst>
            <a:ext uri="{FF2B5EF4-FFF2-40B4-BE49-F238E27FC236}">
              <a16:creationId xmlns:a16="http://schemas.microsoft.com/office/drawing/2014/main" id="{ADEA2554-6E0F-531B-E826-CE9ABA922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259080</xdr:colOff>
      <xdr:row>3</xdr:row>
      <xdr:rowOff>182881</xdr:rowOff>
    </xdr:from>
    <xdr:to>
      <xdr:col>9</xdr:col>
      <xdr:colOff>121920</xdr:colOff>
      <xdr:row>9</xdr:row>
      <xdr:rowOff>99061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FA3F881-8067-6E8D-E4B6-D15ABC6B2DE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17820" y="777241"/>
              <a:ext cx="187452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499110</xdr:colOff>
      <xdr:row>10</xdr:row>
      <xdr:rowOff>41910</xdr:rowOff>
    </xdr:from>
    <xdr:to>
      <xdr:col>9</xdr:col>
      <xdr:colOff>91440</xdr:colOff>
      <xdr:row>14</xdr:row>
      <xdr:rowOff>114300</xdr:rowOff>
    </xdr:to>
    <xdr:graphicFrame macro="">
      <xdr:nvGraphicFramePr>
        <xdr:cNvPr id="4" name="Chart 3">
          <a:extLst>
            <a:ext uri="{FF2B5EF4-FFF2-40B4-BE49-F238E27FC236}">
              <a16:creationId xmlns:a16="http://schemas.microsoft.com/office/drawing/2014/main" id="{F59694F3-6059-34F8-AFA0-7D2F45938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350520</xdr:colOff>
      <xdr:row>3</xdr:row>
      <xdr:rowOff>190501</xdr:rowOff>
    </xdr:from>
    <xdr:to>
      <xdr:col>12</xdr:col>
      <xdr:colOff>167640</xdr:colOff>
      <xdr:row>15</xdr:row>
      <xdr:rowOff>22861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79998135-24A0-B748-FD85-9779E7B8B92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520940" y="784861"/>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662940</xdr:colOff>
      <xdr:row>2</xdr:row>
      <xdr:rowOff>7620</xdr:rowOff>
    </xdr:from>
    <xdr:to>
      <xdr:col>7</xdr:col>
      <xdr:colOff>480060</xdr:colOff>
      <xdr:row>15</xdr:row>
      <xdr:rowOff>127635</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2224E106-0D05-A694-1F67-169AAB68CE4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564380" y="403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xdr:row>
      <xdr:rowOff>7620</xdr:rowOff>
    </xdr:from>
    <xdr:to>
      <xdr:col>10</xdr:col>
      <xdr:colOff>487680</xdr:colOff>
      <xdr:row>15</xdr:row>
      <xdr:rowOff>127635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CB1421E5-ECF4-9D6A-805E-7B78179EC1FA}"/>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583680" y="403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731520</xdr:colOff>
      <xdr:row>11</xdr:row>
      <xdr:rowOff>49530</xdr:rowOff>
    </xdr:from>
    <xdr:to>
      <xdr:col>4</xdr:col>
      <xdr:colOff>502920</xdr:colOff>
      <xdr:row>21</xdr:row>
      <xdr:rowOff>38100</xdr:rowOff>
    </xdr:to>
    <xdr:graphicFrame macro="">
      <xdr:nvGraphicFramePr>
        <xdr:cNvPr id="5" name="Chart 4">
          <a:extLst>
            <a:ext uri="{FF2B5EF4-FFF2-40B4-BE49-F238E27FC236}">
              <a16:creationId xmlns:a16="http://schemas.microsoft.com/office/drawing/2014/main" id="{12EC4D98-BB8D-100E-9A65-4BACE8D12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506730</xdr:colOff>
      <xdr:row>1</xdr:row>
      <xdr:rowOff>179070</xdr:rowOff>
    </xdr:from>
    <xdr:to>
      <xdr:col>9</xdr:col>
      <xdr:colOff>384810</xdr:colOff>
      <xdr:row>15</xdr:row>
      <xdr:rowOff>148590</xdr:rowOff>
    </xdr:to>
    <xdr:graphicFrame macro="">
      <xdr:nvGraphicFramePr>
        <xdr:cNvPr id="2" name="Chart 1">
          <a:extLst>
            <a:ext uri="{FF2B5EF4-FFF2-40B4-BE49-F238E27FC236}">
              <a16:creationId xmlns:a16="http://schemas.microsoft.com/office/drawing/2014/main" id="{7A9BC399-9FC5-5FFF-791C-C11E0D6C0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499110</xdr:colOff>
      <xdr:row>2</xdr:row>
      <xdr:rowOff>26670</xdr:rowOff>
    </xdr:from>
    <xdr:to>
      <xdr:col>12</xdr:col>
      <xdr:colOff>377190</xdr:colOff>
      <xdr:row>15</xdr:row>
      <xdr:rowOff>194310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86C3F91-01B2-1ACB-E5CA-025EECAFDF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28510" y="4229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384810</xdr:colOff>
      <xdr:row>1</xdr:row>
      <xdr:rowOff>182880</xdr:rowOff>
    </xdr:from>
    <xdr:to>
      <xdr:col>9</xdr:col>
      <xdr:colOff>262890</xdr:colOff>
      <xdr:row>15</xdr:row>
      <xdr:rowOff>152400</xdr:rowOff>
    </xdr:to>
    <xdr:graphicFrame macro="">
      <xdr:nvGraphicFramePr>
        <xdr:cNvPr id="2" name="Chart 1">
          <a:extLst>
            <a:ext uri="{FF2B5EF4-FFF2-40B4-BE49-F238E27FC236}">
              <a16:creationId xmlns:a16="http://schemas.microsoft.com/office/drawing/2014/main" id="{1C022B7C-D53B-711F-F093-DC7DE332C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529590</xdr:colOff>
      <xdr:row>2</xdr:row>
      <xdr:rowOff>7620</xdr:rowOff>
    </xdr:from>
    <xdr:to>
      <xdr:col>9</xdr:col>
      <xdr:colOff>407670</xdr:colOff>
      <xdr:row>15</xdr:row>
      <xdr:rowOff>175260</xdr:rowOff>
    </xdr:to>
    <xdr:graphicFrame macro="">
      <xdr:nvGraphicFramePr>
        <xdr:cNvPr id="2" name="Chart 1">
          <a:extLst>
            <a:ext uri="{FF2B5EF4-FFF2-40B4-BE49-F238E27FC236}">
              <a16:creationId xmlns:a16="http://schemas.microsoft.com/office/drawing/2014/main" id="{A9B2C640-B20D-82AE-6B4C-D43372F11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666750</xdr:colOff>
      <xdr:row>2</xdr:row>
      <xdr:rowOff>3810</xdr:rowOff>
    </xdr:from>
    <xdr:to>
      <xdr:col>9</xdr:col>
      <xdr:colOff>544830</xdr:colOff>
      <xdr:row>15</xdr:row>
      <xdr:rowOff>171450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21F07EF1-1309-8467-E092-E73FCE431B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23210" y="400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502920</xdr:colOff>
      <xdr:row>2</xdr:row>
      <xdr:rowOff>22860</xdr:rowOff>
    </xdr:from>
    <xdr:to>
      <xdr:col>13</xdr:col>
      <xdr:colOff>320040</xdr:colOff>
      <xdr:row>15</xdr:row>
      <xdr:rowOff>142875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96C3917-3733-7DD3-7424-94485397670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023860" y="419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464820</xdr:colOff>
      <xdr:row>2</xdr:row>
      <xdr:rowOff>22860</xdr:rowOff>
    </xdr:from>
    <xdr:to>
      <xdr:col>16</xdr:col>
      <xdr:colOff>281940</xdr:colOff>
      <xdr:row>15</xdr:row>
      <xdr:rowOff>142875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C75C44F8-112F-F26E-62B0-2ABE5699A0F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997440" y="419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331932</xdr:colOff>
      <xdr:row>1</xdr:row>
      <xdr:rowOff>60613</xdr:rowOff>
    </xdr:from>
    <xdr:ext cx="14754225" cy="7439025"/>
    <xdr:grpSp>
      <xdr:nvGrpSpPr>
        <xdr:cNvPr id="2" name="Shape 2">
          <a:extLst>
            <a:ext uri="{FF2B5EF4-FFF2-40B4-BE49-F238E27FC236}">
              <a16:creationId xmlns:a16="http://schemas.microsoft.com/office/drawing/2014/main" id="{DA5040F3-68DB-410A-9252-5E6F98A6E933}"/>
            </a:ext>
          </a:extLst>
        </xdr:cNvPr>
        <xdr:cNvGrpSpPr/>
      </xdr:nvGrpSpPr>
      <xdr:grpSpPr>
        <a:xfrm>
          <a:off x="1648114" y="256886"/>
          <a:ext cx="14754225" cy="7439025"/>
          <a:chOff x="0" y="60488"/>
          <a:chExt cx="10692000" cy="7439025"/>
        </a:xfrm>
      </xdr:grpSpPr>
      <xdr:grpSp>
        <xdr:nvGrpSpPr>
          <xdr:cNvPr id="3" name="Shape 29">
            <a:extLst>
              <a:ext uri="{FF2B5EF4-FFF2-40B4-BE49-F238E27FC236}">
                <a16:creationId xmlns:a16="http://schemas.microsoft.com/office/drawing/2014/main" id="{7D06F162-0C10-74D4-F657-787EEF331C4A}"/>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ABCDD8A3-C206-34F3-D420-E96D46B98349}"/>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FF812559-2006-7450-F78A-4298BBF47848}"/>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A6C9896D-3B06-40E0-2612-D2CD6F427AB4}"/>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0D7C2FD1-821F-DAE9-184B-23924E5509E1}"/>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F7853058-71C9-D17A-7B7D-9A832D6D7D09}"/>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5FD0D5FB-8470-CC42-5768-C94F1FE172A7}"/>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42EF6B68-37A5-A45A-E501-C5C9290350DD}"/>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D1E49285-DB8D-5E57-E635-FCB6E076763F}"/>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8A8F7753-CBB9-F3F5-2E8A-E1AAB76C30C7}"/>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4C8C1C7F-8A79-E3D2-8985-1C5D7BC3B6EC}"/>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7B034369-1F84-79D0-0463-1151BBA78F51}"/>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2DC7D39D-6983-3F8E-B53E-C37A5568D64C}"/>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CEDC19D1-24B3-8CF4-FC50-289D0D0AD74B}"/>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90356AA8-92AF-36AA-011B-0D079373ACB8}"/>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9505A113-5B08-C383-6361-2E90076D37F2}"/>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A22DCE36-8D9E-11C6-ABB2-E9F3AFDEE1BD}"/>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53826731-167C-D2EB-DE5A-2EF2766B7038}"/>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597DD779-3FEF-BE6C-AA9F-B19E9A893BC5}"/>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06C3C832-C8E5-3F0B-9538-BED8FA4B311D}"/>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7AFCF760-27E7-2E93-2D11-2DA3D6C79888}"/>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DA4E537D-F770-1B82-1B14-4EE0225C14B2}"/>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4E2300A1-C266-81A9-34D0-AC535A4E2ECC}"/>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7F4BFCFD-B59D-21BA-B393-3DE599E16001}"/>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863B96EC-0031-A8D7-6457-2901ADBD0E78}"/>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3FF4CA1E-754D-B14C-5343-7F9F76F775BA}"/>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265550</xdr:colOff>
      <xdr:row>6</xdr:row>
      <xdr:rowOff>158174</xdr:rowOff>
    </xdr:from>
    <xdr:to>
      <xdr:col>6</xdr:col>
      <xdr:colOff>242460</xdr:colOff>
      <xdr:row>8</xdr:row>
      <xdr:rowOff>111992</xdr:rowOff>
    </xdr:to>
    <xdr:sp macro="" textlink="">
      <xdr:nvSpPr>
        <xdr:cNvPr id="29" name="TextBox 28">
          <a:extLst>
            <a:ext uri="{FF2B5EF4-FFF2-40B4-BE49-F238E27FC236}">
              <a16:creationId xmlns:a16="http://schemas.microsoft.com/office/drawing/2014/main" id="{BAEA917C-A70E-D91F-4C7E-6B6A2B54DD74}"/>
            </a:ext>
          </a:extLst>
        </xdr:cNvPr>
        <xdr:cNvSpPr txBox="1"/>
      </xdr:nvSpPr>
      <xdr:spPr>
        <a:xfrm>
          <a:off x="1581732" y="1335810"/>
          <a:ext cx="2609273"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B"/>
              </a:solidFill>
              <a:latin typeface="Arial Black" panose="020B0A04020102020204" pitchFamily="34" charset="0"/>
            </a:rPr>
            <a:t>Total</a:t>
          </a:r>
          <a:r>
            <a:rPr lang="en-IN" sz="1800" baseline="0">
              <a:solidFill>
                <a:srgbClr val="60292B"/>
              </a:solidFill>
              <a:latin typeface="Arial Black" panose="020B0A04020102020204" pitchFamily="34" charset="0"/>
            </a:rPr>
            <a:t> Employees</a:t>
          </a:r>
          <a:endParaRPr lang="en-IN" sz="1800">
            <a:solidFill>
              <a:srgbClr val="60292B"/>
            </a:solidFill>
            <a:latin typeface="Arial Black" panose="020B0A04020102020204" pitchFamily="34" charset="0"/>
          </a:endParaRPr>
        </a:p>
      </xdr:txBody>
    </xdr:sp>
    <xdr:clientData/>
  </xdr:twoCellAnchor>
  <xdr:twoCellAnchor>
    <xdr:from>
      <xdr:col>2</xdr:col>
      <xdr:colOff>473363</xdr:colOff>
      <xdr:row>8</xdr:row>
      <xdr:rowOff>69273</xdr:rowOff>
    </xdr:from>
    <xdr:to>
      <xdr:col>5</xdr:col>
      <xdr:colOff>473362</xdr:colOff>
      <xdr:row>10</xdr:row>
      <xdr:rowOff>92365</xdr:rowOff>
    </xdr:to>
    <xdr:sp macro="" textlink="KPI!A8">
      <xdr:nvSpPr>
        <xdr:cNvPr id="30" name="TextBox 29">
          <a:extLst>
            <a:ext uri="{FF2B5EF4-FFF2-40B4-BE49-F238E27FC236}">
              <a16:creationId xmlns:a16="http://schemas.microsoft.com/office/drawing/2014/main" id="{07A0193F-2A74-0AE8-D527-D9FD6D47FDCE}"/>
            </a:ext>
          </a:extLst>
        </xdr:cNvPr>
        <xdr:cNvSpPr txBox="1"/>
      </xdr:nvSpPr>
      <xdr:spPr>
        <a:xfrm>
          <a:off x="1789545" y="1639455"/>
          <a:ext cx="1974272"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6AF27F-929A-452E-8DAB-458192F3726C}" type="TxLink">
            <a:rPr lang="en-US" sz="2400" b="0" i="0" u="none" strike="noStrike">
              <a:solidFill>
                <a:srgbClr val="002060"/>
              </a:solidFill>
              <a:latin typeface="Arial Black" panose="020B0A04020102020204" pitchFamily="34" charset="0"/>
              <a:ea typeface="Calibri"/>
              <a:cs typeface="Calibri"/>
            </a:rPr>
            <a:pPr algn="ctr"/>
            <a:t>1470</a:t>
          </a:fld>
          <a:endParaRPr lang="en-IN" sz="2000">
            <a:solidFill>
              <a:srgbClr val="002060"/>
            </a:solidFill>
            <a:latin typeface="Arial Black" panose="020B0A04020102020204" pitchFamily="34" charset="0"/>
          </a:endParaRPr>
        </a:p>
      </xdr:txBody>
    </xdr:sp>
    <xdr:clientData/>
  </xdr:twoCellAnchor>
  <xdr:twoCellAnchor>
    <xdr:from>
      <xdr:col>7</xdr:col>
      <xdr:colOff>53686</xdr:colOff>
      <xdr:row>6</xdr:row>
      <xdr:rowOff>152400</xdr:rowOff>
    </xdr:from>
    <xdr:to>
      <xdr:col>11</xdr:col>
      <xdr:colOff>30595</xdr:colOff>
      <xdr:row>8</xdr:row>
      <xdr:rowOff>106218</xdr:rowOff>
    </xdr:to>
    <xdr:sp macro="" textlink="">
      <xdr:nvSpPr>
        <xdr:cNvPr id="31" name="TextBox 30">
          <a:extLst>
            <a:ext uri="{FF2B5EF4-FFF2-40B4-BE49-F238E27FC236}">
              <a16:creationId xmlns:a16="http://schemas.microsoft.com/office/drawing/2014/main" id="{44974ED4-9DCA-4EDD-B84A-222867C9721F}"/>
            </a:ext>
          </a:extLst>
        </xdr:cNvPr>
        <xdr:cNvSpPr txBox="1"/>
      </xdr:nvSpPr>
      <xdr:spPr>
        <a:xfrm>
          <a:off x="4660322" y="1330036"/>
          <a:ext cx="2609273"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B"/>
              </a:solidFill>
              <a:latin typeface="Arial Black" panose="020B0A04020102020204" pitchFamily="34" charset="0"/>
            </a:rPr>
            <a:t>Attrition</a:t>
          </a:r>
        </a:p>
      </xdr:txBody>
    </xdr:sp>
    <xdr:clientData/>
  </xdr:twoCellAnchor>
  <xdr:twoCellAnchor>
    <xdr:from>
      <xdr:col>7</xdr:col>
      <xdr:colOff>140854</xdr:colOff>
      <xdr:row>8</xdr:row>
      <xdr:rowOff>71582</xdr:rowOff>
    </xdr:from>
    <xdr:to>
      <xdr:col>10</xdr:col>
      <xdr:colOff>140853</xdr:colOff>
      <xdr:row>10</xdr:row>
      <xdr:rowOff>94674</xdr:rowOff>
    </xdr:to>
    <xdr:sp macro="" textlink="KPI!B8">
      <xdr:nvSpPr>
        <xdr:cNvPr id="32" name="TextBox 31">
          <a:extLst>
            <a:ext uri="{FF2B5EF4-FFF2-40B4-BE49-F238E27FC236}">
              <a16:creationId xmlns:a16="http://schemas.microsoft.com/office/drawing/2014/main" id="{BBD8840C-4A7A-46D7-A3E4-68E74884F022}"/>
            </a:ext>
          </a:extLst>
        </xdr:cNvPr>
        <xdr:cNvSpPr txBox="1"/>
      </xdr:nvSpPr>
      <xdr:spPr>
        <a:xfrm>
          <a:off x="4747490" y="1641764"/>
          <a:ext cx="1974272"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B673088-E9B8-428C-A653-9CC295488A78}" type="TxLink">
            <a:rPr lang="en-US" sz="2400" b="0" i="0" u="none" strike="noStrike">
              <a:solidFill>
                <a:srgbClr val="002060"/>
              </a:solidFill>
              <a:latin typeface="Arial Black" panose="020B0A04020102020204" pitchFamily="34" charset="0"/>
              <a:ea typeface="Calibri"/>
              <a:cs typeface="Calibri"/>
            </a:rPr>
            <a:pPr marL="0" indent="0" algn="ctr"/>
            <a:t>237</a:t>
          </a:fld>
          <a:endParaRPr lang="en-IN" sz="24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11</xdr:col>
      <xdr:colOff>361372</xdr:colOff>
      <xdr:row>6</xdr:row>
      <xdr:rowOff>175491</xdr:rowOff>
    </xdr:from>
    <xdr:to>
      <xdr:col>15</xdr:col>
      <xdr:colOff>338281</xdr:colOff>
      <xdr:row>8</xdr:row>
      <xdr:rowOff>129309</xdr:rowOff>
    </xdr:to>
    <xdr:sp macro="" textlink="">
      <xdr:nvSpPr>
        <xdr:cNvPr id="33" name="TextBox 32">
          <a:extLst>
            <a:ext uri="{FF2B5EF4-FFF2-40B4-BE49-F238E27FC236}">
              <a16:creationId xmlns:a16="http://schemas.microsoft.com/office/drawing/2014/main" id="{17C9805D-B55B-4D0B-8FB7-5728517FE83C}"/>
            </a:ext>
          </a:extLst>
        </xdr:cNvPr>
        <xdr:cNvSpPr txBox="1"/>
      </xdr:nvSpPr>
      <xdr:spPr>
        <a:xfrm>
          <a:off x="7600372" y="1353127"/>
          <a:ext cx="2609273"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60292B"/>
              </a:solidFill>
              <a:latin typeface="Arial Black" panose="020B0A04020102020204" pitchFamily="34" charset="0"/>
            </a:rPr>
            <a:t>Active</a:t>
          </a:r>
          <a:r>
            <a:rPr lang="en-IN" sz="1600" baseline="0">
              <a:solidFill>
                <a:srgbClr val="60292B"/>
              </a:solidFill>
              <a:latin typeface="Arial Black" panose="020B0A04020102020204" pitchFamily="34" charset="0"/>
            </a:rPr>
            <a:t> Employees</a:t>
          </a:r>
          <a:endParaRPr lang="en-IN" sz="1600">
            <a:solidFill>
              <a:srgbClr val="60292B"/>
            </a:solidFill>
            <a:latin typeface="Arial Black" panose="020B0A04020102020204" pitchFamily="34" charset="0"/>
          </a:endParaRPr>
        </a:p>
      </xdr:txBody>
    </xdr:sp>
    <xdr:clientData/>
  </xdr:twoCellAnchor>
  <xdr:twoCellAnchor>
    <xdr:from>
      <xdr:col>11</xdr:col>
      <xdr:colOff>441035</xdr:colOff>
      <xdr:row>8</xdr:row>
      <xdr:rowOff>94673</xdr:rowOff>
    </xdr:from>
    <xdr:to>
      <xdr:col>14</xdr:col>
      <xdr:colOff>441034</xdr:colOff>
      <xdr:row>10</xdr:row>
      <xdr:rowOff>117765</xdr:rowOff>
    </xdr:to>
    <xdr:sp macro="" textlink="KPI!D8">
      <xdr:nvSpPr>
        <xdr:cNvPr id="34" name="TextBox 33">
          <a:extLst>
            <a:ext uri="{FF2B5EF4-FFF2-40B4-BE49-F238E27FC236}">
              <a16:creationId xmlns:a16="http://schemas.microsoft.com/office/drawing/2014/main" id="{7D60EEC3-E3CD-4081-804D-75C4B3C3178B}"/>
            </a:ext>
          </a:extLst>
        </xdr:cNvPr>
        <xdr:cNvSpPr txBox="1"/>
      </xdr:nvSpPr>
      <xdr:spPr>
        <a:xfrm>
          <a:off x="7680035" y="1664855"/>
          <a:ext cx="1974272"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FBA8A7E-1FBC-45E6-9D90-DB15126F8E4A}" type="TxLink">
            <a:rPr lang="en-US" sz="2400" b="0" i="0" u="none" strike="noStrike">
              <a:solidFill>
                <a:srgbClr val="002060"/>
              </a:solidFill>
              <a:latin typeface="Arial Black" panose="020B0A04020102020204" pitchFamily="34" charset="0"/>
              <a:ea typeface="Calibri"/>
              <a:cs typeface="Calibri"/>
            </a:rPr>
            <a:pPr marL="0" indent="0" algn="ctr"/>
            <a:t>1233</a:t>
          </a:fld>
          <a:endParaRPr lang="en-IN" sz="24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16</xdr:col>
      <xdr:colOff>10967</xdr:colOff>
      <xdr:row>6</xdr:row>
      <xdr:rowOff>158173</xdr:rowOff>
    </xdr:from>
    <xdr:to>
      <xdr:col>19</xdr:col>
      <xdr:colOff>645968</xdr:colOff>
      <xdr:row>8</xdr:row>
      <xdr:rowOff>111991</xdr:rowOff>
    </xdr:to>
    <xdr:sp macro="" textlink="">
      <xdr:nvSpPr>
        <xdr:cNvPr id="35" name="TextBox 34">
          <a:extLst>
            <a:ext uri="{FF2B5EF4-FFF2-40B4-BE49-F238E27FC236}">
              <a16:creationId xmlns:a16="http://schemas.microsoft.com/office/drawing/2014/main" id="{81E9C4F6-8B89-40A9-A5FC-ECCC878B7D69}"/>
            </a:ext>
          </a:extLst>
        </xdr:cNvPr>
        <xdr:cNvSpPr txBox="1"/>
      </xdr:nvSpPr>
      <xdr:spPr>
        <a:xfrm>
          <a:off x="10540422" y="1335809"/>
          <a:ext cx="2609273"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B"/>
              </a:solidFill>
              <a:latin typeface="Arial Black" panose="020B0A04020102020204" pitchFamily="34" charset="0"/>
            </a:rPr>
            <a:t>Attrition Rate</a:t>
          </a:r>
        </a:p>
      </xdr:txBody>
    </xdr:sp>
    <xdr:clientData/>
  </xdr:twoCellAnchor>
  <xdr:twoCellAnchor>
    <xdr:from>
      <xdr:col>16</xdr:col>
      <xdr:colOff>154708</xdr:colOff>
      <xdr:row>8</xdr:row>
      <xdr:rowOff>85437</xdr:rowOff>
    </xdr:from>
    <xdr:to>
      <xdr:col>19</xdr:col>
      <xdr:colOff>154708</xdr:colOff>
      <xdr:row>10</xdr:row>
      <xdr:rowOff>108529</xdr:rowOff>
    </xdr:to>
    <xdr:sp macro="" textlink="KPI!E8">
      <xdr:nvSpPr>
        <xdr:cNvPr id="36" name="TextBox 35">
          <a:extLst>
            <a:ext uri="{FF2B5EF4-FFF2-40B4-BE49-F238E27FC236}">
              <a16:creationId xmlns:a16="http://schemas.microsoft.com/office/drawing/2014/main" id="{F9321886-735E-4B33-AE7A-513C9562EECA}"/>
            </a:ext>
          </a:extLst>
        </xdr:cNvPr>
        <xdr:cNvSpPr txBox="1"/>
      </xdr:nvSpPr>
      <xdr:spPr>
        <a:xfrm>
          <a:off x="10684163" y="1655619"/>
          <a:ext cx="1974272"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B2CB6C9-7149-49A3-A4A9-5380B285C85A}" type="TxLink">
            <a:rPr lang="en-US" sz="2400" b="0" i="0" u="none" strike="noStrike">
              <a:solidFill>
                <a:srgbClr val="002060"/>
              </a:solidFill>
              <a:latin typeface="Arial Black" panose="020B0A04020102020204" pitchFamily="34" charset="0"/>
              <a:ea typeface="Calibri"/>
              <a:cs typeface="Calibri"/>
            </a:rPr>
            <a:pPr marL="0" indent="0" algn="ctr"/>
            <a:t>16%</a:t>
          </a:fld>
          <a:endParaRPr lang="en-IN" sz="2400" b="0" i="0" u="none" strike="noStrike">
            <a:solidFill>
              <a:srgbClr val="002060"/>
            </a:solidFill>
            <a:latin typeface="Arial Black" panose="020B0A04020102020204" pitchFamily="34" charset="0"/>
            <a:ea typeface="Calibri"/>
            <a:cs typeface="Calibri"/>
          </a:endParaRPr>
        </a:p>
      </xdr:txBody>
    </xdr:sp>
    <xdr:clientData/>
  </xdr:twoCellAnchor>
  <xdr:twoCellAnchor>
    <xdr:from>
      <xdr:col>20</xdr:col>
      <xdr:colOff>318654</xdr:colOff>
      <xdr:row>6</xdr:row>
      <xdr:rowOff>163946</xdr:rowOff>
    </xdr:from>
    <xdr:to>
      <xdr:col>24</xdr:col>
      <xdr:colOff>295563</xdr:colOff>
      <xdr:row>8</xdr:row>
      <xdr:rowOff>117764</xdr:rowOff>
    </xdr:to>
    <xdr:sp macro="" textlink="">
      <xdr:nvSpPr>
        <xdr:cNvPr id="37" name="TextBox 36">
          <a:extLst>
            <a:ext uri="{FF2B5EF4-FFF2-40B4-BE49-F238E27FC236}">
              <a16:creationId xmlns:a16="http://schemas.microsoft.com/office/drawing/2014/main" id="{8B79E74D-0F11-4783-9668-6FF0EE960D4F}"/>
            </a:ext>
          </a:extLst>
        </xdr:cNvPr>
        <xdr:cNvSpPr txBox="1"/>
      </xdr:nvSpPr>
      <xdr:spPr>
        <a:xfrm>
          <a:off x="13480472" y="1341582"/>
          <a:ext cx="2609273"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B"/>
              </a:solidFill>
              <a:latin typeface="Arial Black" panose="020B0A04020102020204" pitchFamily="34" charset="0"/>
            </a:rPr>
            <a:t>Average Age</a:t>
          </a:r>
        </a:p>
      </xdr:txBody>
    </xdr:sp>
    <xdr:clientData/>
  </xdr:twoCellAnchor>
  <xdr:twoCellAnchor>
    <xdr:from>
      <xdr:col>20</xdr:col>
      <xdr:colOff>387927</xdr:colOff>
      <xdr:row>8</xdr:row>
      <xdr:rowOff>87744</xdr:rowOff>
    </xdr:from>
    <xdr:to>
      <xdr:col>23</xdr:col>
      <xdr:colOff>387926</xdr:colOff>
      <xdr:row>10</xdr:row>
      <xdr:rowOff>110836</xdr:rowOff>
    </xdr:to>
    <xdr:sp macro="" textlink="KPI!C8">
      <xdr:nvSpPr>
        <xdr:cNvPr id="38" name="TextBox 37">
          <a:extLst>
            <a:ext uri="{FF2B5EF4-FFF2-40B4-BE49-F238E27FC236}">
              <a16:creationId xmlns:a16="http://schemas.microsoft.com/office/drawing/2014/main" id="{AE428374-F2CD-4011-A753-AF2D9E29194A}"/>
            </a:ext>
          </a:extLst>
        </xdr:cNvPr>
        <xdr:cNvSpPr txBox="1"/>
      </xdr:nvSpPr>
      <xdr:spPr>
        <a:xfrm>
          <a:off x="13549745" y="1657926"/>
          <a:ext cx="1974272"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E5F781-2F86-41A6-AD67-08EB0449CB25}" type="TxLink">
            <a:rPr lang="en-US" sz="2400" b="0" i="0" u="none" strike="noStrike">
              <a:solidFill>
                <a:srgbClr val="002060"/>
              </a:solidFill>
              <a:latin typeface="Arial Black" panose="020B0A04020102020204" pitchFamily="34" charset="0"/>
              <a:ea typeface="Calibri"/>
              <a:cs typeface="Calibri"/>
            </a:rPr>
            <a:pPr marL="0" indent="0" algn="ctr"/>
            <a:t>37</a:t>
          </a:fld>
          <a:endParaRPr lang="en-IN" sz="2400" b="0" i="0" u="none" strike="noStrike">
            <a:solidFill>
              <a:srgbClr val="002060"/>
            </a:solidFill>
            <a:latin typeface="Arial Black" panose="020B0A04020102020204" pitchFamily="34" charset="0"/>
            <a:ea typeface="Calibri"/>
            <a:cs typeface="Calibri"/>
          </a:endParaRPr>
        </a:p>
      </xdr:txBody>
    </xdr:sp>
    <xdr:clientData/>
  </xdr:twoCellAnchor>
  <xdr:oneCellAnchor>
    <xdr:from>
      <xdr:col>6</xdr:col>
      <xdr:colOff>126980</xdr:colOff>
      <xdr:row>7</xdr:row>
      <xdr:rowOff>0</xdr:rowOff>
    </xdr:from>
    <xdr:ext cx="333375" cy="314325"/>
    <xdr:pic>
      <xdr:nvPicPr>
        <xdr:cNvPr id="39" name="image4.png">
          <a:extLst>
            <a:ext uri="{FF2B5EF4-FFF2-40B4-BE49-F238E27FC236}">
              <a16:creationId xmlns:a16="http://schemas.microsoft.com/office/drawing/2014/main" id="{663ECF20-D446-42FD-8549-BE7D25EB03CD}"/>
            </a:ext>
          </a:extLst>
        </xdr:cNvPr>
        <xdr:cNvPicPr preferRelativeResize="0"/>
      </xdr:nvPicPr>
      <xdr:blipFill>
        <a:blip xmlns:r="http://schemas.openxmlformats.org/officeDocument/2006/relationships" r:embed="rId1" cstate="print"/>
        <a:stretch>
          <a:fillRect/>
        </a:stretch>
      </xdr:blipFill>
      <xdr:spPr>
        <a:xfrm>
          <a:off x="4075525" y="1373909"/>
          <a:ext cx="333375" cy="314325"/>
        </a:xfrm>
        <a:prstGeom prst="rect">
          <a:avLst/>
        </a:prstGeom>
        <a:noFill/>
      </xdr:spPr>
    </xdr:pic>
    <xdr:clientData fLocksWithSheet="0"/>
  </xdr:oneCellAnchor>
  <xdr:oneCellAnchor>
    <xdr:from>
      <xdr:col>15</xdr:col>
      <xdr:colOff>50933</xdr:colOff>
      <xdr:row>6</xdr:row>
      <xdr:rowOff>194541</xdr:rowOff>
    </xdr:from>
    <xdr:ext cx="419100" cy="304800"/>
    <xdr:pic>
      <xdr:nvPicPr>
        <xdr:cNvPr id="40" name="image5.png">
          <a:extLst>
            <a:ext uri="{FF2B5EF4-FFF2-40B4-BE49-F238E27FC236}">
              <a16:creationId xmlns:a16="http://schemas.microsoft.com/office/drawing/2014/main" id="{5D637DAC-EE1C-44B6-AF5D-4D36FA4537E9}"/>
            </a:ext>
          </a:extLst>
        </xdr:cNvPr>
        <xdr:cNvPicPr preferRelativeResize="0"/>
      </xdr:nvPicPr>
      <xdr:blipFill>
        <a:blip xmlns:r="http://schemas.openxmlformats.org/officeDocument/2006/relationships" r:embed="rId2" cstate="print"/>
        <a:stretch>
          <a:fillRect/>
        </a:stretch>
      </xdr:blipFill>
      <xdr:spPr>
        <a:xfrm>
          <a:off x="9922297" y="1372177"/>
          <a:ext cx="419100" cy="304800"/>
        </a:xfrm>
        <a:prstGeom prst="rect">
          <a:avLst/>
        </a:prstGeom>
        <a:noFill/>
      </xdr:spPr>
    </xdr:pic>
    <xdr:clientData fLocksWithSheet="0"/>
  </xdr:oneCellAnchor>
  <xdr:oneCellAnchor>
    <xdr:from>
      <xdr:col>19</xdr:col>
      <xdr:colOff>351481</xdr:colOff>
      <xdr:row>6</xdr:row>
      <xdr:rowOff>183284</xdr:rowOff>
    </xdr:from>
    <xdr:ext cx="390525" cy="314325"/>
    <xdr:pic>
      <xdr:nvPicPr>
        <xdr:cNvPr id="41" name="image2.png">
          <a:extLst>
            <a:ext uri="{FF2B5EF4-FFF2-40B4-BE49-F238E27FC236}">
              <a16:creationId xmlns:a16="http://schemas.microsoft.com/office/drawing/2014/main" id="{78946718-B0E2-472F-9D34-46D080CDFC97}"/>
            </a:ext>
          </a:extLst>
        </xdr:cNvPr>
        <xdr:cNvPicPr preferRelativeResize="0"/>
      </xdr:nvPicPr>
      <xdr:blipFill>
        <a:blip xmlns:r="http://schemas.openxmlformats.org/officeDocument/2006/relationships" r:embed="rId3" cstate="print"/>
        <a:stretch>
          <a:fillRect/>
        </a:stretch>
      </xdr:blipFill>
      <xdr:spPr>
        <a:xfrm>
          <a:off x="12855208" y="1360920"/>
          <a:ext cx="390525" cy="314325"/>
        </a:xfrm>
        <a:prstGeom prst="rect">
          <a:avLst/>
        </a:prstGeom>
        <a:noFill/>
      </xdr:spPr>
    </xdr:pic>
    <xdr:clientData fLocksWithSheet="0"/>
  </xdr:oneCellAnchor>
  <xdr:oneCellAnchor>
    <xdr:from>
      <xdr:col>23</xdr:col>
      <xdr:colOff>623454</xdr:colOff>
      <xdr:row>7</xdr:row>
      <xdr:rowOff>69273</xdr:rowOff>
    </xdr:from>
    <xdr:ext cx="295275" cy="266700"/>
    <xdr:pic>
      <xdr:nvPicPr>
        <xdr:cNvPr id="42" name="image6.png">
          <a:extLst>
            <a:ext uri="{FF2B5EF4-FFF2-40B4-BE49-F238E27FC236}">
              <a16:creationId xmlns:a16="http://schemas.microsoft.com/office/drawing/2014/main" id="{B59E00DA-01D8-43E7-8C11-0622CF1966B6}"/>
            </a:ext>
          </a:extLst>
        </xdr:cNvPr>
        <xdr:cNvPicPr preferRelativeResize="0"/>
      </xdr:nvPicPr>
      <xdr:blipFill>
        <a:blip xmlns:r="http://schemas.openxmlformats.org/officeDocument/2006/relationships" r:embed="rId4" cstate="print"/>
        <a:stretch>
          <a:fillRect/>
        </a:stretch>
      </xdr:blipFill>
      <xdr:spPr>
        <a:xfrm>
          <a:off x="15759545" y="1443182"/>
          <a:ext cx="295275" cy="266700"/>
        </a:xfrm>
        <a:prstGeom prst="rect">
          <a:avLst/>
        </a:prstGeom>
        <a:noFill/>
      </xdr:spPr>
    </xdr:pic>
    <xdr:clientData fLocksWithSheet="0"/>
  </xdr:oneCellAnchor>
  <xdr:oneCellAnchor>
    <xdr:from>
      <xdr:col>10</xdr:col>
      <xdr:colOff>341802</xdr:colOff>
      <xdr:row>6</xdr:row>
      <xdr:rowOff>181552</xdr:rowOff>
    </xdr:from>
    <xdr:ext cx="485775" cy="400050"/>
    <xdr:pic>
      <xdr:nvPicPr>
        <xdr:cNvPr id="43" name="image7.png">
          <a:extLst>
            <a:ext uri="{FF2B5EF4-FFF2-40B4-BE49-F238E27FC236}">
              <a16:creationId xmlns:a16="http://schemas.microsoft.com/office/drawing/2014/main" id="{6BDB22F9-B1FD-4BC7-B89E-E9BB0362D0E8}"/>
            </a:ext>
          </a:extLst>
        </xdr:cNvPr>
        <xdr:cNvPicPr preferRelativeResize="0"/>
      </xdr:nvPicPr>
      <xdr:blipFill>
        <a:blip xmlns:r="http://schemas.openxmlformats.org/officeDocument/2006/relationships" r:embed="rId5" cstate="print"/>
        <a:stretch>
          <a:fillRect/>
        </a:stretch>
      </xdr:blipFill>
      <xdr:spPr>
        <a:xfrm>
          <a:off x="6922711" y="1359188"/>
          <a:ext cx="485775" cy="400050"/>
        </a:xfrm>
        <a:prstGeom prst="rect">
          <a:avLst/>
        </a:prstGeom>
        <a:noFill/>
      </xdr:spPr>
    </xdr:pic>
    <xdr:clientData fLocksWithSheet="0"/>
  </xdr:oneCellAnchor>
  <xdr:twoCellAnchor>
    <xdr:from>
      <xdr:col>4</xdr:col>
      <xdr:colOff>11545</xdr:colOff>
      <xdr:row>1</xdr:row>
      <xdr:rowOff>184727</xdr:rowOff>
    </xdr:from>
    <xdr:to>
      <xdr:col>15</xdr:col>
      <xdr:colOff>438723</xdr:colOff>
      <xdr:row>5</xdr:row>
      <xdr:rowOff>138545</xdr:rowOff>
    </xdr:to>
    <xdr:sp macro="" textlink="">
      <xdr:nvSpPr>
        <xdr:cNvPr id="44" name="TextBox 43">
          <a:extLst>
            <a:ext uri="{FF2B5EF4-FFF2-40B4-BE49-F238E27FC236}">
              <a16:creationId xmlns:a16="http://schemas.microsoft.com/office/drawing/2014/main" id="{1C2AF862-5EC5-52C8-8F27-5948BD9C0BBE}"/>
            </a:ext>
          </a:extLst>
        </xdr:cNvPr>
        <xdr:cNvSpPr txBox="1"/>
      </xdr:nvSpPr>
      <xdr:spPr>
        <a:xfrm>
          <a:off x="2643909" y="381000"/>
          <a:ext cx="7666178" cy="738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accent1">
                  <a:lumMod val="75000"/>
                </a:schemeClr>
              </a:solidFill>
              <a:latin typeface="Arial Black" panose="020B0A04020102020204" pitchFamily="34" charset="0"/>
            </a:rPr>
            <a:t>HR ANALYTICS DASHBOARD</a:t>
          </a:r>
        </a:p>
      </xdr:txBody>
    </xdr:sp>
    <xdr:clientData/>
  </xdr:twoCellAnchor>
  <xdr:oneCellAnchor>
    <xdr:from>
      <xdr:col>3</xdr:col>
      <xdr:colOff>-1</xdr:colOff>
      <xdr:row>2</xdr:row>
      <xdr:rowOff>138545</xdr:rowOff>
    </xdr:from>
    <xdr:ext cx="542925" cy="523875"/>
    <xdr:pic>
      <xdr:nvPicPr>
        <xdr:cNvPr id="45" name="image1.png">
          <a:extLst>
            <a:ext uri="{FF2B5EF4-FFF2-40B4-BE49-F238E27FC236}">
              <a16:creationId xmlns:a16="http://schemas.microsoft.com/office/drawing/2014/main" id="{12CDB61A-992E-4858-A859-031BB0D7B186}"/>
            </a:ext>
          </a:extLst>
        </xdr:cNvPr>
        <xdr:cNvPicPr preferRelativeResize="0"/>
      </xdr:nvPicPr>
      <xdr:blipFill>
        <a:blip xmlns:r="http://schemas.openxmlformats.org/officeDocument/2006/relationships" r:embed="rId6" cstate="print"/>
        <a:stretch>
          <a:fillRect/>
        </a:stretch>
      </xdr:blipFill>
      <xdr:spPr>
        <a:xfrm>
          <a:off x="1974272" y="531090"/>
          <a:ext cx="542925" cy="523875"/>
        </a:xfrm>
        <a:prstGeom prst="rect">
          <a:avLst/>
        </a:prstGeom>
        <a:noFill/>
      </xdr:spPr>
    </xdr:pic>
    <xdr:clientData fLocksWithSheet="0"/>
  </xdr:oneCellAnchor>
  <xdr:oneCellAnchor>
    <xdr:from>
      <xdr:col>15</xdr:col>
      <xdr:colOff>565728</xdr:colOff>
      <xdr:row>2</xdr:row>
      <xdr:rowOff>80819</xdr:rowOff>
    </xdr:from>
    <xdr:ext cx="723900" cy="628650"/>
    <xdr:pic>
      <xdr:nvPicPr>
        <xdr:cNvPr id="46" name="image3.png">
          <a:extLst>
            <a:ext uri="{FF2B5EF4-FFF2-40B4-BE49-F238E27FC236}">
              <a16:creationId xmlns:a16="http://schemas.microsoft.com/office/drawing/2014/main" id="{D35307A0-BA1B-49F8-B087-2A11F966EC4E}"/>
            </a:ext>
          </a:extLst>
        </xdr:cNvPr>
        <xdr:cNvPicPr preferRelativeResize="0"/>
      </xdr:nvPicPr>
      <xdr:blipFill>
        <a:blip xmlns:r="http://schemas.openxmlformats.org/officeDocument/2006/relationships" r:embed="rId7" cstate="print"/>
        <a:stretch>
          <a:fillRect/>
        </a:stretch>
      </xdr:blipFill>
      <xdr:spPr>
        <a:xfrm>
          <a:off x="10437092" y="473364"/>
          <a:ext cx="723900" cy="628650"/>
        </a:xfrm>
        <a:prstGeom prst="rect">
          <a:avLst/>
        </a:prstGeom>
        <a:noFill/>
        <a:ln>
          <a:noFill/>
        </a:ln>
      </xdr:spPr>
    </xdr:pic>
    <xdr:clientData fLocksWithSheet="0"/>
  </xdr:oneCellAnchor>
  <xdr:twoCellAnchor>
    <xdr:from>
      <xdr:col>16</xdr:col>
      <xdr:colOff>473363</xdr:colOff>
      <xdr:row>1</xdr:row>
      <xdr:rowOff>184727</xdr:rowOff>
    </xdr:from>
    <xdr:to>
      <xdr:col>19</xdr:col>
      <xdr:colOff>438727</xdr:colOff>
      <xdr:row>6</xdr:row>
      <xdr:rowOff>46181</xdr:rowOff>
    </xdr:to>
    <xdr:sp macro="" textlink="">
      <xdr:nvSpPr>
        <xdr:cNvPr id="47" name="TextBox 46">
          <a:extLst>
            <a:ext uri="{FF2B5EF4-FFF2-40B4-BE49-F238E27FC236}">
              <a16:creationId xmlns:a16="http://schemas.microsoft.com/office/drawing/2014/main" id="{E0406904-40B2-CD72-100E-3E35A47EC585}"/>
            </a:ext>
          </a:extLst>
        </xdr:cNvPr>
        <xdr:cNvSpPr txBox="1"/>
      </xdr:nvSpPr>
      <xdr:spPr>
        <a:xfrm>
          <a:off x="11002818" y="381000"/>
          <a:ext cx="1939636" cy="842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60292B"/>
              </a:solidFill>
              <a:latin typeface="Arial Black" panose="020B0A04020102020204" pitchFamily="34" charset="0"/>
            </a:rPr>
            <a:t>JOB</a:t>
          </a:r>
        </a:p>
        <a:p>
          <a:pPr algn="ctr"/>
          <a:r>
            <a:rPr lang="en-IN" sz="1200">
              <a:solidFill>
                <a:srgbClr val="60292B"/>
              </a:solidFill>
              <a:latin typeface="Arial Black" panose="020B0A04020102020204" pitchFamily="34" charset="0"/>
            </a:rPr>
            <a:t>SATISFACTION</a:t>
          </a:r>
        </a:p>
        <a:p>
          <a:pPr algn="ctr"/>
          <a:r>
            <a:rPr lang="en-IN" sz="1200">
              <a:solidFill>
                <a:srgbClr val="60292B"/>
              </a:solidFill>
              <a:latin typeface="Arial Black" panose="020B0A04020102020204" pitchFamily="34" charset="0"/>
            </a:rPr>
            <a:t>RATING</a:t>
          </a:r>
        </a:p>
      </xdr:txBody>
    </xdr:sp>
    <xdr:clientData/>
  </xdr:twoCellAnchor>
  <xdr:twoCellAnchor>
    <xdr:from>
      <xdr:col>19</xdr:col>
      <xdr:colOff>150090</xdr:colOff>
      <xdr:row>1</xdr:row>
      <xdr:rowOff>103907</xdr:rowOff>
    </xdr:from>
    <xdr:to>
      <xdr:col>21</xdr:col>
      <xdr:colOff>103909</xdr:colOff>
      <xdr:row>6</xdr:row>
      <xdr:rowOff>11545</xdr:rowOff>
    </xdr:to>
    <xdr:graphicFrame macro="">
      <xdr:nvGraphicFramePr>
        <xdr:cNvPr id="48" name="Chart 47">
          <a:extLst>
            <a:ext uri="{FF2B5EF4-FFF2-40B4-BE49-F238E27FC236}">
              <a16:creationId xmlns:a16="http://schemas.microsoft.com/office/drawing/2014/main" id="{4426DD4D-0209-429D-B132-0C6D74D3A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565729</xdr:colOff>
      <xdr:row>3</xdr:row>
      <xdr:rowOff>11546</xdr:rowOff>
    </xdr:from>
    <xdr:to>
      <xdr:col>20</xdr:col>
      <xdr:colOff>323274</xdr:colOff>
      <xdr:row>4</xdr:row>
      <xdr:rowOff>103909</xdr:rowOff>
    </xdr:to>
    <xdr:sp macro="" textlink="Rating!$B$6">
      <xdr:nvSpPr>
        <xdr:cNvPr id="49" name="TextBox 48">
          <a:extLst>
            <a:ext uri="{FF2B5EF4-FFF2-40B4-BE49-F238E27FC236}">
              <a16:creationId xmlns:a16="http://schemas.microsoft.com/office/drawing/2014/main" id="{F6450A1B-B1EA-BA12-1D5D-FF3E2DA6B08A}"/>
            </a:ext>
          </a:extLst>
        </xdr:cNvPr>
        <xdr:cNvSpPr txBox="1"/>
      </xdr:nvSpPr>
      <xdr:spPr>
        <a:xfrm>
          <a:off x="13069456" y="600364"/>
          <a:ext cx="415636"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966798-EDEF-47C7-BB4A-E1BF5069038B}" type="TxLink">
            <a:rPr lang="en-US" sz="1050" b="0" i="0" u="none" strike="noStrike">
              <a:solidFill>
                <a:srgbClr val="0070C0"/>
              </a:solidFill>
              <a:latin typeface="Arial Black" panose="020B0A04020102020204" pitchFamily="34" charset="0"/>
              <a:ea typeface="Calibri"/>
              <a:cs typeface="Calibri"/>
            </a:rPr>
            <a:pPr algn="ctr"/>
            <a:t>2.63</a:t>
          </a:fld>
          <a:endParaRPr lang="en-IN" sz="1000">
            <a:solidFill>
              <a:srgbClr val="0070C0"/>
            </a:solidFill>
            <a:latin typeface="Arial Black" panose="020B0A04020102020204" pitchFamily="34" charset="0"/>
          </a:endParaRPr>
        </a:p>
      </xdr:txBody>
    </xdr:sp>
    <xdr:clientData/>
  </xdr:twoCellAnchor>
  <xdr:twoCellAnchor>
    <xdr:from>
      <xdr:col>20</xdr:col>
      <xdr:colOff>496455</xdr:colOff>
      <xdr:row>1</xdr:row>
      <xdr:rowOff>173182</xdr:rowOff>
    </xdr:from>
    <xdr:to>
      <xdr:col>24</xdr:col>
      <xdr:colOff>404091</xdr:colOff>
      <xdr:row>5</xdr:row>
      <xdr:rowOff>69272</xdr:rowOff>
    </xdr:to>
    <xdr:graphicFrame macro="">
      <xdr:nvGraphicFramePr>
        <xdr:cNvPr id="51" name="Chart 50">
          <a:extLst>
            <a:ext uri="{FF2B5EF4-FFF2-40B4-BE49-F238E27FC236}">
              <a16:creationId xmlns:a16="http://schemas.microsoft.com/office/drawing/2014/main" id="{77991C1F-F6D1-4D7F-8382-5C52C108D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635001</xdr:colOff>
      <xdr:row>2</xdr:row>
      <xdr:rowOff>57727</xdr:rowOff>
    </xdr:from>
    <xdr:to>
      <xdr:col>24</xdr:col>
      <xdr:colOff>303385</xdr:colOff>
      <xdr:row>4</xdr:row>
      <xdr:rowOff>186291</xdr:rowOff>
    </xdr:to>
    <xdr:sp macro="" textlink="">
      <xdr:nvSpPr>
        <xdr:cNvPr id="50" name="Freeform: Shape 49">
          <a:extLst>
            <a:ext uri="{FF2B5EF4-FFF2-40B4-BE49-F238E27FC236}">
              <a16:creationId xmlns:a16="http://schemas.microsoft.com/office/drawing/2014/main" id="{F3D80640-6A39-4073-E642-8F826B8CE44F}"/>
            </a:ext>
          </a:extLst>
        </xdr:cNvPr>
        <xdr:cNvSpPr/>
      </xdr:nvSpPr>
      <xdr:spPr>
        <a:xfrm>
          <a:off x="13796819" y="450272"/>
          <a:ext cx="2300748" cy="521110"/>
        </a:xfrm>
        <a:custGeom>
          <a:avLst/>
          <a:gdLst>
            <a:gd name="csX0" fmla="*/ 2022718 w 2300748"/>
            <a:gd name="csY0" fmla="*/ 88490 h 521110"/>
            <a:gd name="csX1" fmla="*/ 1978102 w 2300748"/>
            <a:gd name="csY1" fmla="*/ 213623 h 521110"/>
            <a:gd name="csX2" fmla="*/ 1833718 w 2300748"/>
            <a:gd name="csY2" fmla="*/ 213622 h 521110"/>
            <a:gd name="csX3" fmla="*/ 1950528 w 2300748"/>
            <a:gd name="csY3" fmla="*/ 290957 h 521110"/>
            <a:gd name="csX4" fmla="*/ 1905910 w 2300748"/>
            <a:gd name="csY4" fmla="*/ 416089 h 521110"/>
            <a:gd name="csX5" fmla="*/ 2022718 w 2300748"/>
            <a:gd name="csY5" fmla="*/ 338752 h 521110"/>
            <a:gd name="csX6" fmla="*/ 2139526 w 2300748"/>
            <a:gd name="csY6" fmla="*/ 416089 h 521110"/>
            <a:gd name="csX7" fmla="*/ 2094908 w 2300748"/>
            <a:gd name="csY7" fmla="*/ 290957 h 521110"/>
            <a:gd name="csX8" fmla="*/ 2211718 w 2300748"/>
            <a:gd name="csY8" fmla="*/ 213622 h 521110"/>
            <a:gd name="csX9" fmla="*/ 2067334 w 2300748"/>
            <a:gd name="csY9" fmla="*/ 213623 h 521110"/>
            <a:gd name="csX10" fmla="*/ 1471563 w 2300748"/>
            <a:gd name="csY10" fmla="*/ 88490 h 521110"/>
            <a:gd name="csX11" fmla="*/ 1422821 w 2300748"/>
            <a:gd name="csY11" fmla="*/ 223692 h 521110"/>
            <a:gd name="csX12" fmla="*/ 1265085 w 2300748"/>
            <a:gd name="csY12" fmla="*/ 223691 h 521110"/>
            <a:gd name="csX13" fmla="*/ 1392697 w 2300748"/>
            <a:gd name="csY13" fmla="*/ 307250 h 521110"/>
            <a:gd name="csX14" fmla="*/ 1343953 w 2300748"/>
            <a:gd name="csY14" fmla="*/ 442451 h 521110"/>
            <a:gd name="csX15" fmla="*/ 1471563 w 2300748"/>
            <a:gd name="csY15" fmla="*/ 358891 h 521110"/>
            <a:gd name="csX16" fmla="*/ 1599172 w 2300748"/>
            <a:gd name="csY16" fmla="*/ 442451 h 521110"/>
            <a:gd name="csX17" fmla="*/ 1550428 w 2300748"/>
            <a:gd name="csY17" fmla="*/ 307250 h 521110"/>
            <a:gd name="csX18" fmla="*/ 1678040 w 2300748"/>
            <a:gd name="csY18" fmla="*/ 223691 h 521110"/>
            <a:gd name="csX19" fmla="*/ 1520304 w 2300748"/>
            <a:gd name="csY19" fmla="*/ 223692 h 521110"/>
            <a:gd name="csX20" fmla="*/ 902930 w 2300748"/>
            <a:gd name="csY20" fmla="*/ 88490 h 521110"/>
            <a:gd name="csX21" fmla="*/ 854188 w 2300748"/>
            <a:gd name="csY21" fmla="*/ 223692 h 521110"/>
            <a:gd name="csX22" fmla="*/ 696452 w 2300748"/>
            <a:gd name="csY22" fmla="*/ 223691 h 521110"/>
            <a:gd name="csX23" fmla="*/ 824064 w 2300748"/>
            <a:gd name="csY23" fmla="*/ 307250 h 521110"/>
            <a:gd name="csX24" fmla="*/ 775320 w 2300748"/>
            <a:gd name="csY24" fmla="*/ 442451 h 521110"/>
            <a:gd name="csX25" fmla="*/ 902930 w 2300748"/>
            <a:gd name="csY25" fmla="*/ 358891 h 521110"/>
            <a:gd name="csX26" fmla="*/ 1030539 w 2300748"/>
            <a:gd name="csY26" fmla="*/ 442451 h 521110"/>
            <a:gd name="csX27" fmla="*/ 981795 w 2300748"/>
            <a:gd name="csY27" fmla="*/ 307250 h 521110"/>
            <a:gd name="csX28" fmla="*/ 1109407 w 2300748"/>
            <a:gd name="csY28" fmla="*/ 223691 h 521110"/>
            <a:gd name="csX29" fmla="*/ 951671 w 2300748"/>
            <a:gd name="csY29" fmla="*/ 223692 h 521110"/>
            <a:gd name="csX30" fmla="*/ 334297 w 2300748"/>
            <a:gd name="csY30" fmla="*/ 88490 h 521110"/>
            <a:gd name="csX31" fmla="*/ 285555 w 2300748"/>
            <a:gd name="csY31" fmla="*/ 223692 h 521110"/>
            <a:gd name="csX32" fmla="*/ 127819 w 2300748"/>
            <a:gd name="csY32" fmla="*/ 223691 h 521110"/>
            <a:gd name="csX33" fmla="*/ 255431 w 2300748"/>
            <a:gd name="csY33" fmla="*/ 307250 h 521110"/>
            <a:gd name="csX34" fmla="*/ 206687 w 2300748"/>
            <a:gd name="csY34" fmla="*/ 442451 h 521110"/>
            <a:gd name="csX35" fmla="*/ 334297 w 2300748"/>
            <a:gd name="csY35" fmla="*/ 358891 h 521110"/>
            <a:gd name="csX36" fmla="*/ 461906 w 2300748"/>
            <a:gd name="csY36" fmla="*/ 442451 h 521110"/>
            <a:gd name="csX37" fmla="*/ 413162 w 2300748"/>
            <a:gd name="csY37" fmla="*/ 307250 h 521110"/>
            <a:gd name="csX38" fmla="*/ 540774 w 2300748"/>
            <a:gd name="csY38" fmla="*/ 223691 h 521110"/>
            <a:gd name="csX39" fmla="*/ 383038 w 2300748"/>
            <a:gd name="csY39" fmla="*/ 223692 h 521110"/>
            <a:gd name="csX40" fmla="*/ 0 w 2300748"/>
            <a:gd name="csY40" fmla="*/ 0 h 521110"/>
            <a:gd name="csX41" fmla="*/ 2300748 w 2300748"/>
            <a:gd name="csY41" fmla="*/ 0 h 521110"/>
            <a:gd name="csX42" fmla="*/ 2300748 w 2300748"/>
            <a:gd name="csY42" fmla="*/ 521110 h 521110"/>
            <a:gd name="csX43" fmla="*/ 0 w 2300748"/>
            <a:gd name="csY43" fmla="*/ 521110 h 52111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300748" h="521110">
              <a:moveTo>
                <a:pt x="2022718" y="88490"/>
              </a:moveTo>
              <a:lnTo>
                <a:pt x="1978102" y="213623"/>
              </a:lnTo>
              <a:lnTo>
                <a:pt x="1833718" y="213622"/>
              </a:lnTo>
              <a:lnTo>
                <a:pt x="1950528" y="290957"/>
              </a:lnTo>
              <a:lnTo>
                <a:pt x="1905910" y="416089"/>
              </a:lnTo>
              <a:lnTo>
                <a:pt x="2022718" y="338752"/>
              </a:lnTo>
              <a:lnTo>
                <a:pt x="2139526" y="416089"/>
              </a:lnTo>
              <a:lnTo>
                <a:pt x="2094908" y="290957"/>
              </a:lnTo>
              <a:lnTo>
                <a:pt x="2211718" y="213622"/>
              </a:lnTo>
              <a:lnTo>
                <a:pt x="2067334" y="213623"/>
              </a:lnTo>
              <a:close/>
              <a:moveTo>
                <a:pt x="1471563" y="88490"/>
              </a:moveTo>
              <a:lnTo>
                <a:pt x="1422821" y="223692"/>
              </a:lnTo>
              <a:lnTo>
                <a:pt x="1265085" y="223691"/>
              </a:lnTo>
              <a:lnTo>
                <a:pt x="1392697" y="307250"/>
              </a:lnTo>
              <a:lnTo>
                <a:pt x="1343953" y="442451"/>
              </a:lnTo>
              <a:lnTo>
                <a:pt x="1471563" y="358891"/>
              </a:lnTo>
              <a:lnTo>
                <a:pt x="1599172" y="442451"/>
              </a:lnTo>
              <a:lnTo>
                <a:pt x="1550428" y="307250"/>
              </a:lnTo>
              <a:lnTo>
                <a:pt x="1678040" y="223691"/>
              </a:lnTo>
              <a:lnTo>
                <a:pt x="1520304" y="223692"/>
              </a:lnTo>
              <a:close/>
              <a:moveTo>
                <a:pt x="902930" y="88490"/>
              </a:moveTo>
              <a:lnTo>
                <a:pt x="854188" y="223692"/>
              </a:lnTo>
              <a:lnTo>
                <a:pt x="696452" y="223691"/>
              </a:lnTo>
              <a:lnTo>
                <a:pt x="824064" y="307250"/>
              </a:lnTo>
              <a:lnTo>
                <a:pt x="775320" y="442451"/>
              </a:lnTo>
              <a:lnTo>
                <a:pt x="902930" y="358891"/>
              </a:lnTo>
              <a:lnTo>
                <a:pt x="1030539" y="442451"/>
              </a:lnTo>
              <a:lnTo>
                <a:pt x="981795" y="307250"/>
              </a:lnTo>
              <a:lnTo>
                <a:pt x="1109407" y="223691"/>
              </a:lnTo>
              <a:lnTo>
                <a:pt x="951671" y="223692"/>
              </a:lnTo>
              <a:close/>
              <a:moveTo>
                <a:pt x="334297" y="88490"/>
              </a:moveTo>
              <a:lnTo>
                <a:pt x="285555" y="223692"/>
              </a:lnTo>
              <a:lnTo>
                <a:pt x="127819" y="223691"/>
              </a:lnTo>
              <a:lnTo>
                <a:pt x="255431" y="307250"/>
              </a:lnTo>
              <a:lnTo>
                <a:pt x="206687" y="442451"/>
              </a:lnTo>
              <a:lnTo>
                <a:pt x="334297" y="358891"/>
              </a:lnTo>
              <a:lnTo>
                <a:pt x="461906" y="442451"/>
              </a:lnTo>
              <a:lnTo>
                <a:pt x="413162" y="307250"/>
              </a:lnTo>
              <a:lnTo>
                <a:pt x="540774" y="223691"/>
              </a:lnTo>
              <a:lnTo>
                <a:pt x="383038" y="223692"/>
              </a:lnTo>
              <a:close/>
              <a:moveTo>
                <a:pt x="0" y="0"/>
              </a:moveTo>
              <a:lnTo>
                <a:pt x="2300748" y="0"/>
              </a:lnTo>
              <a:lnTo>
                <a:pt x="2300748" y="521110"/>
              </a:lnTo>
              <a:lnTo>
                <a:pt x="0" y="521110"/>
              </a:lnTo>
              <a:close/>
            </a:path>
          </a:pathLst>
        </a:cu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519545</xdr:colOff>
      <xdr:row>17</xdr:row>
      <xdr:rowOff>69273</xdr:rowOff>
    </xdr:from>
    <xdr:to>
      <xdr:col>8</xdr:col>
      <xdr:colOff>631818</xdr:colOff>
      <xdr:row>24</xdr:row>
      <xdr:rowOff>135364</xdr:rowOff>
    </xdr:to>
    <xdr:grpSp>
      <xdr:nvGrpSpPr>
        <xdr:cNvPr id="60" name="Group 59">
          <a:extLst>
            <a:ext uri="{FF2B5EF4-FFF2-40B4-BE49-F238E27FC236}">
              <a16:creationId xmlns:a16="http://schemas.microsoft.com/office/drawing/2014/main" id="{29ACB07E-C1EC-4B55-BF4B-11A97D78D6EA}"/>
            </a:ext>
          </a:extLst>
        </xdr:cNvPr>
        <xdr:cNvGrpSpPr/>
      </xdr:nvGrpSpPr>
      <xdr:grpSpPr>
        <a:xfrm>
          <a:off x="1835727" y="3405909"/>
          <a:ext cx="4060818" cy="1440000"/>
          <a:chOff x="1835727" y="3405909"/>
          <a:chExt cx="4060818" cy="1440000"/>
        </a:xfrm>
      </xdr:grpSpPr>
      <xdr:graphicFrame macro="">
        <xdr:nvGraphicFramePr>
          <xdr:cNvPr id="52" name="Chart 51">
            <a:extLst>
              <a:ext uri="{FF2B5EF4-FFF2-40B4-BE49-F238E27FC236}">
                <a16:creationId xmlns:a16="http://schemas.microsoft.com/office/drawing/2014/main" id="{D6C183D0-A08A-4E38-B151-CF504E4EB386}"/>
              </a:ext>
            </a:extLst>
          </xdr:cNvPr>
          <xdr:cNvGraphicFramePr>
            <a:graphicFrameLocks/>
          </xdr:cNvGraphicFramePr>
        </xdr:nvGraphicFramePr>
        <xdr:xfrm>
          <a:off x="1835727" y="3405909"/>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3" name="Chart 52">
            <a:extLst>
              <a:ext uri="{FF2B5EF4-FFF2-40B4-BE49-F238E27FC236}">
                <a16:creationId xmlns:a16="http://schemas.microsoft.com/office/drawing/2014/main" id="{3E7EBC80-E29C-401A-8F30-E70827DEBE63}"/>
              </a:ext>
            </a:extLst>
          </xdr:cNvPr>
          <xdr:cNvGraphicFramePr>
            <a:graphicFrameLocks/>
          </xdr:cNvGraphicFramePr>
        </xdr:nvGraphicFramePr>
        <xdr:xfrm>
          <a:off x="4456545" y="3405909"/>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5" name="Graphic 54" descr="Male profile with solid fill">
            <a:extLst>
              <a:ext uri="{FF2B5EF4-FFF2-40B4-BE49-F238E27FC236}">
                <a16:creationId xmlns:a16="http://schemas.microsoft.com/office/drawing/2014/main" id="{7264D1E0-CFE1-35EB-DC0A-497F679491E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90814" y="3744603"/>
            <a:ext cx="720000" cy="727620"/>
          </a:xfrm>
          <a:prstGeom prst="rect">
            <a:avLst/>
          </a:prstGeom>
        </xdr:spPr>
      </xdr:pic>
      <xdr:pic>
        <xdr:nvPicPr>
          <xdr:cNvPr id="57" name="Graphic 56" descr="Female Profile with solid fill">
            <a:extLst>
              <a:ext uri="{FF2B5EF4-FFF2-40B4-BE49-F238E27FC236}">
                <a16:creationId xmlns:a16="http://schemas.microsoft.com/office/drawing/2014/main" id="{E14FB703-3DA9-95BA-7EBC-5C446942F94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094086" y="3733058"/>
            <a:ext cx="720000" cy="727620"/>
          </a:xfrm>
          <a:prstGeom prst="rect">
            <a:avLst/>
          </a:prstGeom>
        </xdr:spPr>
      </xdr:pic>
      <xdr:sp macro="" textlink="Gender!$B$9">
        <xdr:nvSpPr>
          <xdr:cNvPr id="58" name="TextBox 57">
            <a:extLst>
              <a:ext uri="{FF2B5EF4-FFF2-40B4-BE49-F238E27FC236}">
                <a16:creationId xmlns:a16="http://schemas.microsoft.com/office/drawing/2014/main" id="{F2AB0006-34AB-4093-BF77-D3B4B1E4E396}"/>
              </a:ext>
            </a:extLst>
          </xdr:cNvPr>
          <xdr:cNvSpPr txBox="1"/>
        </xdr:nvSpPr>
        <xdr:spPr>
          <a:xfrm>
            <a:off x="2309091" y="4006272"/>
            <a:ext cx="496454" cy="357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48D6B05-E1B0-46DD-B9D2-76F89B264574}" type="TxLink">
              <a:rPr lang="en-US" sz="1200" b="0" i="0" u="none" strike="noStrike">
                <a:solidFill>
                  <a:srgbClr val="0070C0"/>
                </a:solidFill>
                <a:latin typeface="Arial Black" panose="020B0A04020102020204" pitchFamily="34" charset="0"/>
                <a:ea typeface="Calibri"/>
                <a:cs typeface="Calibri"/>
              </a:rPr>
              <a:pPr marL="0" indent="0" algn="ctr"/>
              <a:t>588</a:t>
            </a:fld>
            <a:endParaRPr lang="en-IN" sz="1200" b="0" i="0" u="none" strike="noStrike">
              <a:solidFill>
                <a:srgbClr val="0070C0"/>
              </a:solidFill>
              <a:latin typeface="Arial Black" panose="020B0A04020102020204" pitchFamily="34" charset="0"/>
              <a:ea typeface="Calibri"/>
              <a:cs typeface="Calibri"/>
            </a:endParaRPr>
          </a:p>
        </xdr:txBody>
      </xdr:sp>
      <xdr:sp macro="" textlink="Gender!$B$10">
        <xdr:nvSpPr>
          <xdr:cNvPr id="59" name="TextBox 58">
            <a:extLst>
              <a:ext uri="{FF2B5EF4-FFF2-40B4-BE49-F238E27FC236}">
                <a16:creationId xmlns:a16="http://schemas.microsoft.com/office/drawing/2014/main" id="{E666887C-741F-4DC7-824A-708572E9BD41}"/>
              </a:ext>
            </a:extLst>
          </xdr:cNvPr>
          <xdr:cNvSpPr txBox="1"/>
        </xdr:nvSpPr>
        <xdr:spPr>
          <a:xfrm>
            <a:off x="4941454" y="3983182"/>
            <a:ext cx="496455"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A83068-08E7-49BC-BAEC-23573F1CB1BD}" type="TxLink">
              <a:rPr lang="en-US" sz="1200" b="0" i="0" u="none" strike="noStrike">
                <a:solidFill>
                  <a:srgbClr val="0070C0"/>
                </a:solidFill>
                <a:latin typeface="Arial Black" panose="020B0A04020102020204" pitchFamily="34" charset="0"/>
                <a:ea typeface="Calibri"/>
                <a:cs typeface="Calibri"/>
              </a:rPr>
              <a:pPr marL="0" indent="0" algn="ctr"/>
              <a:t>882</a:t>
            </a:fld>
            <a:endParaRPr lang="en-IN" sz="1200" b="0" i="0" u="none" strike="noStrike">
              <a:solidFill>
                <a:srgbClr val="0070C0"/>
              </a:solidFill>
              <a:latin typeface="Arial Black" panose="020B0A04020102020204" pitchFamily="34" charset="0"/>
              <a:ea typeface="Calibri"/>
              <a:cs typeface="Calibri"/>
            </a:endParaRPr>
          </a:p>
        </xdr:txBody>
      </xdr:sp>
    </xdr:grpSp>
    <xdr:clientData/>
  </xdr:twoCellAnchor>
  <xdr:twoCellAnchor>
    <xdr:from>
      <xdr:col>2</xdr:col>
      <xdr:colOff>531092</xdr:colOff>
      <xdr:row>11</xdr:row>
      <xdr:rowOff>184727</xdr:rowOff>
    </xdr:from>
    <xdr:to>
      <xdr:col>8</xdr:col>
      <xdr:colOff>184729</xdr:colOff>
      <xdr:row>13</xdr:row>
      <xdr:rowOff>57728</xdr:rowOff>
    </xdr:to>
    <xdr:sp macro="" textlink="">
      <xdr:nvSpPr>
        <xdr:cNvPr id="61" name="TextBox 60">
          <a:extLst>
            <a:ext uri="{FF2B5EF4-FFF2-40B4-BE49-F238E27FC236}">
              <a16:creationId xmlns:a16="http://schemas.microsoft.com/office/drawing/2014/main" id="{5B8AA63D-BE8F-1DC8-01C1-E59F6886BFAC}"/>
            </a:ext>
          </a:extLst>
        </xdr:cNvPr>
        <xdr:cNvSpPr txBox="1"/>
      </xdr:nvSpPr>
      <xdr:spPr>
        <a:xfrm>
          <a:off x="1847274" y="2343727"/>
          <a:ext cx="3602182"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B"/>
              </a:solidFill>
              <a:latin typeface="Arial Black" panose="020B0A04020102020204" pitchFamily="34" charset="0"/>
            </a:rPr>
            <a:t>Total Employees by Gender</a:t>
          </a:r>
        </a:p>
      </xdr:txBody>
    </xdr:sp>
    <xdr:clientData/>
  </xdr:twoCellAnchor>
  <xdr:twoCellAnchor editAs="oneCell">
    <xdr:from>
      <xdr:col>4</xdr:col>
      <xdr:colOff>311728</xdr:colOff>
      <xdr:row>14</xdr:row>
      <xdr:rowOff>184729</xdr:rowOff>
    </xdr:from>
    <xdr:to>
      <xdr:col>7</xdr:col>
      <xdr:colOff>166256</xdr:colOff>
      <xdr:row>18</xdr:row>
      <xdr:rowOff>46182</xdr:rowOff>
    </xdr:to>
    <mc:AlternateContent xmlns:mc="http://schemas.openxmlformats.org/markup-compatibility/2006" xmlns:a14="http://schemas.microsoft.com/office/drawing/2010/main">
      <mc:Choice Requires="a14">
        <xdr:graphicFrame macro="">
          <xdr:nvGraphicFramePr>
            <xdr:cNvPr id="62" name="Gender 3">
              <a:extLst>
                <a:ext uri="{FF2B5EF4-FFF2-40B4-BE49-F238E27FC236}">
                  <a16:creationId xmlns:a16="http://schemas.microsoft.com/office/drawing/2014/main" id="{CD763604-9066-44AC-AA3A-E31F8962B276}"/>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944092" y="2932547"/>
              <a:ext cx="1828800" cy="646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346363</xdr:colOff>
      <xdr:row>14</xdr:row>
      <xdr:rowOff>34637</xdr:rowOff>
    </xdr:from>
    <xdr:to>
      <xdr:col>17</xdr:col>
      <xdr:colOff>92364</xdr:colOff>
      <xdr:row>24</xdr:row>
      <xdr:rowOff>127000</xdr:rowOff>
    </xdr:to>
    <xdr:graphicFrame macro="">
      <xdr:nvGraphicFramePr>
        <xdr:cNvPr id="63" name="Chart 62">
          <a:extLst>
            <a:ext uri="{FF2B5EF4-FFF2-40B4-BE49-F238E27FC236}">
              <a16:creationId xmlns:a16="http://schemas.microsoft.com/office/drawing/2014/main" id="{5B4430C1-7116-411A-B4FB-B270BD777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415633</xdr:colOff>
      <xdr:row>11</xdr:row>
      <xdr:rowOff>173181</xdr:rowOff>
    </xdr:from>
    <xdr:to>
      <xdr:col>15</xdr:col>
      <xdr:colOff>69269</xdr:colOff>
      <xdr:row>13</xdr:row>
      <xdr:rowOff>46182</xdr:rowOff>
    </xdr:to>
    <xdr:sp macro="" textlink="">
      <xdr:nvSpPr>
        <xdr:cNvPr id="64" name="TextBox 63">
          <a:extLst>
            <a:ext uri="{FF2B5EF4-FFF2-40B4-BE49-F238E27FC236}">
              <a16:creationId xmlns:a16="http://schemas.microsoft.com/office/drawing/2014/main" id="{086276FC-B3C4-4E76-8907-0500B261B282}"/>
            </a:ext>
          </a:extLst>
        </xdr:cNvPr>
        <xdr:cNvSpPr txBox="1"/>
      </xdr:nvSpPr>
      <xdr:spPr>
        <a:xfrm>
          <a:off x="6338451" y="2332181"/>
          <a:ext cx="3602182"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B"/>
              </a:solidFill>
              <a:latin typeface="Arial Black" panose="020B0A04020102020204" pitchFamily="34" charset="0"/>
            </a:rPr>
            <a:t>Education Wise</a:t>
          </a:r>
          <a:r>
            <a:rPr lang="en-IN" sz="1200" baseline="0">
              <a:solidFill>
                <a:srgbClr val="60292B"/>
              </a:solidFill>
              <a:latin typeface="Arial Black" panose="020B0A04020102020204" pitchFamily="34" charset="0"/>
            </a:rPr>
            <a:t> Attrition</a:t>
          </a:r>
          <a:endParaRPr lang="en-IN" sz="1200">
            <a:solidFill>
              <a:srgbClr val="60292B"/>
            </a:solidFill>
            <a:latin typeface="Arial Black" panose="020B0A04020102020204" pitchFamily="34" charset="0"/>
          </a:endParaRPr>
        </a:p>
      </xdr:txBody>
    </xdr:sp>
    <xdr:clientData/>
  </xdr:twoCellAnchor>
  <xdr:twoCellAnchor>
    <xdr:from>
      <xdr:col>17</xdr:col>
      <xdr:colOff>392546</xdr:colOff>
      <xdr:row>13</xdr:row>
      <xdr:rowOff>127000</xdr:rowOff>
    </xdr:from>
    <xdr:to>
      <xdr:col>24</xdr:col>
      <xdr:colOff>346363</xdr:colOff>
      <xdr:row>24</xdr:row>
      <xdr:rowOff>103910</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8104CB64-AB52-408E-9826-DE7933B5E5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32986" y="2603500"/>
              <a:ext cx="4541057" cy="2072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484909</xdr:colOff>
      <xdr:row>11</xdr:row>
      <xdr:rowOff>173182</xdr:rowOff>
    </xdr:from>
    <xdr:to>
      <xdr:col>23</xdr:col>
      <xdr:colOff>138545</xdr:colOff>
      <xdr:row>13</xdr:row>
      <xdr:rowOff>46183</xdr:rowOff>
    </xdr:to>
    <xdr:sp macro="" textlink="">
      <xdr:nvSpPr>
        <xdr:cNvPr id="66" name="TextBox 65">
          <a:extLst>
            <a:ext uri="{FF2B5EF4-FFF2-40B4-BE49-F238E27FC236}">
              <a16:creationId xmlns:a16="http://schemas.microsoft.com/office/drawing/2014/main" id="{A08699AB-081D-4D01-820D-FEF3D688FA16}"/>
            </a:ext>
          </a:extLst>
        </xdr:cNvPr>
        <xdr:cNvSpPr txBox="1"/>
      </xdr:nvSpPr>
      <xdr:spPr>
        <a:xfrm>
          <a:off x="11672454" y="2332182"/>
          <a:ext cx="3602182"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B"/>
              </a:solidFill>
              <a:latin typeface="Arial Black" panose="020B0A04020102020204" pitchFamily="34" charset="0"/>
            </a:rPr>
            <a:t>Attrition</a:t>
          </a:r>
          <a:r>
            <a:rPr lang="en-IN" sz="1200" baseline="0">
              <a:solidFill>
                <a:srgbClr val="60292B"/>
              </a:solidFill>
              <a:latin typeface="Arial Black" panose="020B0A04020102020204" pitchFamily="34" charset="0"/>
            </a:rPr>
            <a:t> by Job Role</a:t>
          </a:r>
          <a:endParaRPr lang="en-IN" sz="1200">
            <a:solidFill>
              <a:srgbClr val="60292B"/>
            </a:solidFill>
            <a:latin typeface="Arial Black" panose="020B0A04020102020204" pitchFamily="34" charset="0"/>
          </a:endParaRPr>
        </a:p>
      </xdr:txBody>
    </xdr:sp>
    <xdr:clientData/>
  </xdr:twoCellAnchor>
  <xdr:twoCellAnchor>
    <xdr:from>
      <xdr:col>2</xdr:col>
      <xdr:colOff>519545</xdr:colOff>
      <xdr:row>27</xdr:row>
      <xdr:rowOff>127001</xdr:rowOff>
    </xdr:from>
    <xdr:to>
      <xdr:col>8</xdr:col>
      <xdr:colOff>600364</xdr:colOff>
      <xdr:row>38</xdr:row>
      <xdr:rowOff>34637</xdr:rowOff>
    </xdr:to>
    <xdr:graphicFrame macro="">
      <xdr:nvGraphicFramePr>
        <xdr:cNvPr id="67" name="Chart 66">
          <a:extLst>
            <a:ext uri="{FF2B5EF4-FFF2-40B4-BE49-F238E27FC236}">
              <a16:creationId xmlns:a16="http://schemas.microsoft.com/office/drawing/2014/main" id="{0CB5C990-4832-4CFE-BD58-872658FA5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531091</xdr:colOff>
      <xdr:row>25</xdr:row>
      <xdr:rowOff>161637</xdr:rowOff>
    </xdr:from>
    <xdr:to>
      <xdr:col>8</xdr:col>
      <xdr:colOff>184728</xdr:colOff>
      <xdr:row>27</xdr:row>
      <xdr:rowOff>34637</xdr:rowOff>
    </xdr:to>
    <xdr:sp macro="" textlink="">
      <xdr:nvSpPr>
        <xdr:cNvPr id="68" name="TextBox 67">
          <a:extLst>
            <a:ext uri="{FF2B5EF4-FFF2-40B4-BE49-F238E27FC236}">
              <a16:creationId xmlns:a16="http://schemas.microsoft.com/office/drawing/2014/main" id="{08C1CDBD-717A-4D11-96E9-070073E2DA95}"/>
            </a:ext>
          </a:extLst>
        </xdr:cNvPr>
        <xdr:cNvSpPr txBox="1"/>
      </xdr:nvSpPr>
      <xdr:spPr>
        <a:xfrm>
          <a:off x="1847273" y="5068455"/>
          <a:ext cx="3602182"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B"/>
              </a:solidFill>
              <a:latin typeface="Arial Black" panose="020B0A04020102020204" pitchFamily="34" charset="0"/>
            </a:rPr>
            <a:t>Dept Wise</a:t>
          </a:r>
          <a:r>
            <a:rPr lang="en-IN" sz="1200" baseline="0">
              <a:solidFill>
                <a:srgbClr val="60292B"/>
              </a:solidFill>
              <a:latin typeface="Arial Black" panose="020B0A04020102020204" pitchFamily="34" charset="0"/>
            </a:rPr>
            <a:t> Attrition</a:t>
          </a:r>
          <a:endParaRPr lang="en-IN" sz="1200">
            <a:solidFill>
              <a:srgbClr val="60292B"/>
            </a:solidFill>
            <a:latin typeface="Arial Black" panose="020B0A04020102020204" pitchFamily="34" charset="0"/>
          </a:endParaRPr>
        </a:p>
      </xdr:txBody>
    </xdr:sp>
    <xdr:clientData/>
  </xdr:twoCellAnchor>
  <xdr:twoCellAnchor>
    <xdr:from>
      <xdr:col>9</xdr:col>
      <xdr:colOff>254000</xdr:colOff>
      <xdr:row>27</xdr:row>
      <xdr:rowOff>138545</xdr:rowOff>
    </xdr:from>
    <xdr:to>
      <xdr:col>15</xdr:col>
      <xdr:colOff>34636</xdr:colOff>
      <xdr:row>38</xdr:row>
      <xdr:rowOff>92363</xdr:rowOff>
    </xdr:to>
    <xdr:graphicFrame macro="">
      <xdr:nvGraphicFramePr>
        <xdr:cNvPr id="69" name="Chart 68">
          <a:extLst>
            <a:ext uri="{FF2B5EF4-FFF2-40B4-BE49-F238E27FC236}">
              <a16:creationId xmlns:a16="http://schemas.microsoft.com/office/drawing/2014/main" id="{20A575F0-BFDA-4518-8C93-B9B7FCEE2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357909</xdr:colOff>
      <xdr:row>25</xdr:row>
      <xdr:rowOff>150091</xdr:rowOff>
    </xdr:from>
    <xdr:to>
      <xdr:col>15</xdr:col>
      <xdr:colOff>11545</xdr:colOff>
      <xdr:row>27</xdr:row>
      <xdr:rowOff>23091</xdr:rowOff>
    </xdr:to>
    <xdr:sp macro="" textlink="">
      <xdr:nvSpPr>
        <xdr:cNvPr id="70" name="TextBox 69">
          <a:extLst>
            <a:ext uri="{FF2B5EF4-FFF2-40B4-BE49-F238E27FC236}">
              <a16:creationId xmlns:a16="http://schemas.microsoft.com/office/drawing/2014/main" id="{BC61EB32-8CB0-4F5E-AA2E-D9F78CE4F3C6}"/>
            </a:ext>
          </a:extLst>
        </xdr:cNvPr>
        <xdr:cNvSpPr txBox="1"/>
      </xdr:nvSpPr>
      <xdr:spPr>
        <a:xfrm>
          <a:off x="6280727" y="5056909"/>
          <a:ext cx="3602182"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B"/>
              </a:solidFill>
              <a:latin typeface="Arial Black" panose="020B0A04020102020204" pitchFamily="34" charset="0"/>
            </a:rPr>
            <a:t>Attrition</a:t>
          </a:r>
          <a:r>
            <a:rPr lang="en-IN" sz="1200" baseline="0">
              <a:solidFill>
                <a:srgbClr val="60292B"/>
              </a:solidFill>
              <a:latin typeface="Arial Black" panose="020B0A04020102020204" pitchFamily="34" charset="0"/>
            </a:rPr>
            <a:t> by Age Group</a:t>
          </a:r>
          <a:endParaRPr lang="en-IN" sz="1200">
            <a:solidFill>
              <a:srgbClr val="60292B"/>
            </a:solidFill>
            <a:latin typeface="Arial Black" panose="020B0A04020102020204" pitchFamily="34" charset="0"/>
          </a:endParaRPr>
        </a:p>
      </xdr:txBody>
    </xdr:sp>
    <xdr:clientData/>
  </xdr:twoCellAnchor>
  <xdr:twoCellAnchor>
    <xdr:from>
      <xdr:col>15</xdr:col>
      <xdr:colOff>242454</xdr:colOff>
      <xdr:row>27</xdr:row>
      <xdr:rowOff>92363</xdr:rowOff>
    </xdr:from>
    <xdr:to>
      <xdr:col>19</xdr:col>
      <xdr:colOff>646546</xdr:colOff>
      <xdr:row>38</xdr:row>
      <xdr:rowOff>80818</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246333EC-9695-4556-8483-A52CE5D687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072254" y="5235863"/>
              <a:ext cx="3025372" cy="20839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404090</xdr:colOff>
      <xdr:row>25</xdr:row>
      <xdr:rowOff>161637</xdr:rowOff>
    </xdr:from>
    <xdr:to>
      <xdr:col>21</xdr:col>
      <xdr:colOff>57727</xdr:colOff>
      <xdr:row>27</xdr:row>
      <xdr:rowOff>34637</xdr:rowOff>
    </xdr:to>
    <xdr:sp macro="" textlink="">
      <xdr:nvSpPr>
        <xdr:cNvPr id="72" name="TextBox 71">
          <a:extLst>
            <a:ext uri="{FF2B5EF4-FFF2-40B4-BE49-F238E27FC236}">
              <a16:creationId xmlns:a16="http://schemas.microsoft.com/office/drawing/2014/main" id="{5F01B0BB-DF44-49D4-84DB-DFC6403EB14E}"/>
            </a:ext>
          </a:extLst>
        </xdr:cNvPr>
        <xdr:cNvSpPr txBox="1"/>
      </xdr:nvSpPr>
      <xdr:spPr>
        <a:xfrm>
          <a:off x="10275454" y="5068455"/>
          <a:ext cx="3602182"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B"/>
              </a:solidFill>
              <a:latin typeface="Arial Black" panose="020B0A04020102020204" pitchFamily="34" charset="0"/>
            </a:rPr>
            <a:t>Attrition</a:t>
          </a:r>
          <a:r>
            <a:rPr lang="en-IN" sz="1200" baseline="0">
              <a:solidFill>
                <a:srgbClr val="60292B"/>
              </a:solidFill>
              <a:latin typeface="Arial Black" panose="020B0A04020102020204" pitchFamily="34" charset="0"/>
            </a:rPr>
            <a:t> by Marital Status</a:t>
          </a:r>
          <a:endParaRPr lang="en-IN" sz="1200">
            <a:solidFill>
              <a:srgbClr val="60292B"/>
            </a:solidFill>
            <a:latin typeface="Arial Black" panose="020B0A04020102020204" pitchFamily="34" charset="0"/>
          </a:endParaRPr>
        </a:p>
      </xdr:txBody>
    </xdr:sp>
    <xdr:clientData/>
  </xdr:twoCellAnchor>
  <xdr:twoCellAnchor editAs="oneCell">
    <xdr:from>
      <xdr:col>22</xdr:col>
      <xdr:colOff>450273</xdr:colOff>
      <xdr:row>28</xdr:row>
      <xdr:rowOff>115455</xdr:rowOff>
    </xdr:from>
    <xdr:to>
      <xdr:col>24</xdr:col>
      <xdr:colOff>450273</xdr:colOff>
      <xdr:row>38</xdr:row>
      <xdr:rowOff>46181</xdr:rowOff>
    </xdr:to>
    <mc:AlternateContent xmlns:mc="http://schemas.openxmlformats.org/markup-compatibility/2006" xmlns:a14="http://schemas.microsoft.com/office/drawing/2010/main">
      <mc:Choice Requires="a14">
        <xdr:graphicFrame macro="">
          <xdr:nvGraphicFramePr>
            <xdr:cNvPr id="73" name="Department 1">
              <a:extLst>
                <a:ext uri="{FF2B5EF4-FFF2-40B4-BE49-F238E27FC236}">
                  <a16:creationId xmlns:a16="http://schemas.microsoft.com/office/drawing/2014/main" id="{B54E595C-74E7-4FE8-A5BB-7200F5C6DA7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928273" y="5611091"/>
              <a:ext cx="1316182" cy="1893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184035</xdr:colOff>
      <xdr:row>28</xdr:row>
      <xdr:rowOff>126999</xdr:rowOff>
    </xdr:from>
    <xdr:to>
      <xdr:col>22</xdr:col>
      <xdr:colOff>427182</xdr:colOff>
      <xdr:row>38</xdr:row>
      <xdr:rowOff>57726</xdr:rowOff>
    </xdr:to>
    <mc:AlternateContent xmlns:mc="http://schemas.openxmlformats.org/markup-compatibility/2006" xmlns:a14="http://schemas.microsoft.com/office/drawing/2010/main">
      <mc:Choice Requires="a14">
        <xdr:graphicFrame macro="">
          <xdr:nvGraphicFramePr>
            <xdr:cNvPr id="74" name="Education Field 3">
              <a:extLst>
                <a:ext uri="{FF2B5EF4-FFF2-40B4-BE49-F238E27FC236}">
                  <a16:creationId xmlns:a16="http://schemas.microsoft.com/office/drawing/2014/main" id="{B3808E1F-434B-4047-B9B9-A4A09DD581BF}"/>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345853" y="5622635"/>
              <a:ext cx="1559329" cy="1893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300182</xdr:colOff>
      <xdr:row>25</xdr:row>
      <xdr:rowOff>150091</xdr:rowOff>
    </xdr:from>
    <xdr:to>
      <xdr:col>25</xdr:col>
      <xdr:colOff>611909</xdr:colOff>
      <xdr:row>27</xdr:row>
      <xdr:rowOff>23091</xdr:rowOff>
    </xdr:to>
    <xdr:sp macro="" textlink="">
      <xdr:nvSpPr>
        <xdr:cNvPr id="75" name="TextBox 74">
          <a:extLst>
            <a:ext uri="{FF2B5EF4-FFF2-40B4-BE49-F238E27FC236}">
              <a16:creationId xmlns:a16="http://schemas.microsoft.com/office/drawing/2014/main" id="{26B71498-726E-4484-BCAC-A2C205A22E4B}"/>
            </a:ext>
          </a:extLst>
        </xdr:cNvPr>
        <xdr:cNvSpPr txBox="1"/>
      </xdr:nvSpPr>
      <xdr:spPr>
        <a:xfrm>
          <a:off x="13462000" y="5056909"/>
          <a:ext cx="3602182"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B"/>
              </a:solidFill>
              <a:latin typeface="Arial Black" panose="020B0A04020102020204" pitchFamily="34" charset="0"/>
            </a:rPr>
            <a:t>Filter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ai" refreshedDate="46183.512607407407" createdVersion="8" refreshedVersion="8" minRefreshableVersion="3" recordCount="1470" xr:uid="{FA0D281F-D08F-4E6F-8FA7-CCB6390D18F7}">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11742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3A5BD-1F19-447D-9258-0FC5229380B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C6CC0-3B60-4FF1-AC4F-292C507F890E}"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9EF82D-BD77-4F9E-8A93-2FA93E5CE7A2}"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3435EF-858F-428B-92F9-2EEDBE894FE7}"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958801-924D-449D-B044-562741139688}"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2BEA04-D347-4324-B803-FDEC23DC6745}"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7D3244-EEEE-4E84-AA3E-667826B464B8}"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C21618-7356-4629-B171-C3ADC93D12C6}"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3C361735-9E3B-412D-B5CB-71645A887CEC}" sourceName="Gender">
  <pivotTables>
    <pivotTable tabId="6" name="Gender"/>
    <pivotTable tabId="10" name="Attrition by Age Group"/>
    <pivotTable tabId="8" name="Attrition by Job"/>
    <pivotTable tabId="9" name="Dept Wise Attrition"/>
    <pivotTable tabId="7" name="Education by Attrition"/>
    <pivotTable tabId="2" name="KPI"/>
    <pivotTable tabId="11" name="Marital Status"/>
    <pivotTable tabId="5" name="Rating"/>
  </pivotTables>
  <data>
    <tabular pivotCacheId="7117422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2D6EA7-A071-44F1-9BE4-27E982502C54}" sourceName="Department">
  <pivotTables>
    <pivotTable tabId="11" name="Marital Status"/>
    <pivotTable tabId="10" name="Attrition by Age Group"/>
    <pivotTable tabId="8" name="Attrition by Job"/>
    <pivotTable tabId="9" name="Dept Wise Attrition"/>
    <pivotTable tabId="7" name="Education by Attrition"/>
    <pivotTable tabId="6" name="Gender"/>
    <pivotTable tabId="2" name="KPI"/>
    <pivotTable tabId="5" name="Rating"/>
  </pivotTables>
  <data>
    <tabular pivotCacheId="71174227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4ED14CA1-96C0-49D9-8FA1-F07220E509F7}" sourceName="Education Field">
  <pivotTables>
    <pivotTable tabId="11" name="Marital Status"/>
    <pivotTable tabId="10" name="Attrition by Age Group"/>
    <pivotTable tabId="8" name="Attrition by Job"/>
    <pivotTable tabId="9" name="Dept Wise Attrition"/>
    <pivotTable tabId="7" name="Education by Attrition"/>
    <pivotTable tabId="6" name="Gender"/>
    <pivotTable tabId="2" name="KPI"/>
    <pivotTable tabId="5" name="Rating"/>
  </pivotTables>
  <data>
    <tabular pivotCacheId="71174227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1385BF2-015C-4824-B244-9DA550B9FDC4}"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C581819-8F65-4A7D-958C-C557F9B6EC49}" cache="Slicer_Gender2" caption="Gender" rowHeight="260350"/>
  <slicer name="Education Field" xr10:uid="{C7614E7B-9EFB-412F-B062-3EE283A23D3A}"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AE29065-9F6B-4828-A102-C596CC3F7E34}" cache="Slicer_Gender2" caption="Gender" rowHeight="260350"/>
  <slicer name="Education Field 1" xr10:uid="{7080EE7C-30C3-4276-B492-81736D7D4D77}"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616905B-1974-462F-BBF2-8DB421C4AF28}" cache="Slicer_Department" caption="Department" rowHeight="260350"/>
  <slicer name="Education Field 2" xr10:uid="{C554D1E4-8FB9-44EA-B2A2-0DBE547B0EFF}"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ABD42CB1-5DDD-424F-9C1E-4D0194AB86D1}" cache="Slicer_Gender2" caption="Gender" columnCount="2" rowHeight="260350"/>
  <slicer name="Department 1" xr10:uid="{55FD2817-6B71-4089-9B13-0D45F4B1E794}" cache="Slicer_Department" caption="Dept" rowHeight="260350"/>
  <slicer name="Education Field 3" xr10:uid="{1CADF3EA-7D45-4E1F-AE3D-83764BE4D77B}" cache="Slicer_Education_Field2" caption="Education"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812105-E5CC-4C0F-A930-2711C425AA7E}" name="Table_1" displayName="Table_1" ref="A1:AR1471">
  <tableColumns count="44">
    <tableColumn id="1" xr3:uid="{CA96B1F9-99EB-493B-83C4-52998252DB01}" name="Attrition"/>
    <tableColumn id="2" xr3:uid="{0708658F-B502-4B3A-B32D-3FEB2C17F0A7}" name="Business Travel"/>
    <tableColumn id="3" xr3:uid="{95709141-D3E7-4864-8DFE-BF33788243A7}" name="CF_age band"/>
    <tableColumn id="4" xr3:uid="{A722189A-B59C-4D2F-B22B-A842C321CBB0}" name="CF_attrition label"/>
    <tableColumn id="5" xr3:uid="{A0C385B6-03CC-40BC-872B-BF4049A4E818}" name="Department"/>
    <tableColumn id="6" xr3:uid="{2C5EDE48-1A1F-4B5A-B525-C2E5EC6E64BB}" name="Education Field"/>
    <tableColumn id="7" xr3:uid="{9B86330B-307E-4B5C-BD48-1EDDD2B27AFB}" name="emp no"/>
    <tableColumn id="8" xr3:uid="{87E810C0-5DB3-4CD0-A1C0-AB0CD753C7FD}" name="Employee Number"/>
    <tableColumn id="9" xr3:uid="{FE82FAB4-41F0-4047-9EB3-46926C6A93A4}" name="Gender"/>
    <tableColumn id="10" xr3:uid="{A1ADA1ED-D181-4390-809D-6E27EFA87E8E}" name="Job Role"/>
    <tableColumn id="11" xr3:uid="{8FCA61D8-B5C1-4AF3-B1B1-BF8FF0EDD622}" name="Marital Status"/>
    <tableColumn id="12" xr3:uid="{79CDCFD5-DCAE-4D73-921A-5381496A772A}" name="Over Time"/>
    <tableColumn id="13" xr3:uid="{10D04A5F-C0BA-443D-8CE5-60DADEBC29C4}" name="Over18"/>
    <tableColumn id="14" xr3:uid="{2E077B8C-C3F4-4C8F-9495-A0B55AB047E9}" name="Training Times Last Year"/>
    <tableColumn id="15" xr3:uid="{667574FE-DEA2-4B38-B5AB-F0A1EE22C8D8}" name="-2"/>
    <tableColumn id="16" xr3:uid="{6863A765-FD9A-4005-99CE-93B55AAD15DC}" name="0"/>
    <tableColumn id="17" xr3:uid="{74E1B74C-913D-4F8F-91AF-A163626031E7}" name="Age"/>
    <tableColumn id="18" xr3:uid="{D3AE113A-772B-4E21-AACE-29DFD3FD93D7}" name="CF_attrition count"/>
    <tableColumn id="19" xr3:uid="{E13B2012-5321-4987-BC71-CE4A85072D5E}" name="CF_attrition counts"/>
    <tableColumn id="20" xr3:uid="{EDAD5AFD-98D0-4F9E-B64A-5064D0678DDA}" name="CF_attrition rate"/>
    <tableColumn id="21" xr3:uid="{6B83E3C9-22CC-49B5-9F64-EB7DB093DA76}" name="CF_current Employee"/>
    <tableColumn id="22" xr3:uid="{C83022B6-C3C3-4C37-AB4F-77053D0B9732}" name="Daily Rate"/>
    <tableColumn id="23" xr3:uid="{F7DB132D-1D48-4157-AAFD-2905246A8516}" name="Distance From Home"/>
    <tableColumn id="24" xr3:uid="{5DC98D81-C0CF-47A3-AB40-B5A447B2F9FE}" name="Education"/>
    <tableColumn id="25" xr3:uid="{9C1243BE-C246-4A04-AAA4-7478248A1998}" name="Employee Count"/>
    <tableColumn id="26" xr3:uid="{BB7F84FD-D16D-4377-B8CA-B3733CAF5460}" name="Environment Satisfaction"/>
    <tableColumn id="27" xr3:uid="{A6EC9879-CBB5-47A7-82D7-3294B1023CD2}" name="Hourly Rate"/>
    <tableColumn id="28" xr3:uid="{3D1A929D-9BBC-4895-9C09-5E46C0B988CA}" name="Job Involvement"/>
    <tableColumn id="29" xr3:uid="{ADD1DF85-3241-44D0-9389-43024970ACEB}" name="Job Level"/>
    <tableColumn id="30" xr3:uid="{344995B7-0ED7-4820-A681-3DB50D343600}" name="Job Satisfaction"/>
    <tableColumn id="31" xr3:uid="{4EA1527A-35F4-42B2-B163-F8035B0F6252}" name="Monthly Income"/>
    <tableColumn id="32" xr3:uid="{7B59D5C9-990A-40D1-A8AF-4AD371468335}" name="Monthly Rate"/>
    <tableColumn id="33" xr3:uid="{67449091-6A5F-4042-9F6E-CC9C6F9D4F5D}" name="Num Companies Worked"/>
    <tableColumn id="34" xr3:uid="{C1ADF7CE-42E1-4C60-9BAB-8879A7C77D4E}" name="Percent Salary Hike"/>
    <tableColumn id="35" xr3:uid="{1F9DCE10-952D-4516-BA17-5FAA4F054549}" name="Performance Rating"/>
    <tableColumn id="36" xr3:uid="{B274B809-EFC5-4CC7-B3B1-20B15D8C51A4}" name="Relationship Satisfaction"/>
    <tableColumn id="37" xr3:uid="{1B192692-E6C9-4B98-89C8-98A4B13580A2}" name="Standard Hours"/>
    <tableColumn id="38" xr3:uid="{FBFDE861-23DA-4EE8-9B65-0C04418DED91}" name="Stock Option Level"/>
    <tableColumn id="39" xr3:uid="{018C284B-D5EB-46D6-906D-6923B5EEF4B3}" name="Total Working Years"/>
    <tableColumn id="40" xr3:uid="{0FCEA076-7979-4936-A664-28A1D0659E82}" name="Work Life Balance"/>
    <tableColumn id="41" xr3:uid="{80494037-4440-45F5-BA5E-19886B32C9DB}" name="Years At Company"/>
    <tableColumn id="42" xr3:uid="{04954D2D-43DA-476B-99A0-B2F3D77185CD}" name="Years In Current Role"/>
    <tableColumn id="43" xr3:uid="{737C4CC6-FDED-4EAF-BBDB-191F4B774FD6}" name="Years Since Last Promotion"/>
    <tableColumn id="44" xr3:uid="{15DE4721-68E9-4967-9797-78D1F7BDA7D6}" name="Years With Curr Manager"/>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2BA0-CF1B-46A9-8F6B-3DBFD8282826}">
  <dimension ref="A1:AR1471"/>
  <sheetViews>
    <sheetView topLeftCell="A2" workbookViewId="0">
      <selection activeCell="G19" sqref="G19"/>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F500E-6B61-4231-BEDE-8FA7C6C8314E}">
  <dimension ref="A3:E8"/>
  <sheetViews>
    <sheetView workbookViewId="0">
      <selection activeCell="C8" sqref="C8"/>
    </sheetView>
  </sheetViews>
  <sheetFormatPr defaultRowHeight="15.6" x14ac:dyDescent="0.3"/>
  <cols>
    <col min="1" max="1" width="24.5" bestFit="1" customWidth="1"/>
    <col min="2" max="2" width="22.796875" bestFit="1" customWidth="1"/>
    <col min="3" max="3" width="13.5" bestFit="1" customWidth="1"/>
    <col min="4" max="4" width="14.796875" bestFit="1" customWidth="1"/>
    <col min="5" max="5" width="12.3984375" bestFit="1" customWidth="1"/>
  </cols>
  <sheetData>
    <row r="3" spans="1:5" x14ac:dyDescent="0.3">
      <c r="A3" t="s">
        <v>1554</v>
      </c>
      <c r="B3" t="s">
        <v>1555</v>
      </c>
      <c r="C3" t="s">
        <v>1556</v>
      </c>
    </row>
    <row r="4" spans="1:5" x14ac:dyDescent="0.3">
      <c r="A4">
        <v>1470</v>
      </c>
      <c r="B4">
        <v>237</v>
      </c>
      <c r="C4" s="4">
        <v>36.923809523809524</v>
      </c>
    </row>
    <row r="7" spans="1:5" x14ac:dyDescent="0.3">
      <c r="A7" t="s">
        <v>1557</v>
      </c>
      <c r="B7" t="s">
        <v>1558</v>
      </c>
      <c r="C7" t="s">
        <v>1561</v>
      </c>
      <c r="D7" t="s">
        <v>1559</v>
      </c>
      <c r="E7" t="s">
        <v>1560</v>
      </c>
    </row>
    <row r="8" spans="1:5" x14ac:dyDescent="0.3">
      <c r="A8">
        <f>GETPIVOTDATA("Count of Employee Number",$A$3)</f>
        <v>1470</v>
      </c>
      <c r="B8">
        <f>GETPIVOTDATA("Sum of CF_attrition count",$A$3)</f>
        <v>237</v>
      </c>
      <c r="C8" s="4">
        <f>GETPIVOTDATA("Average of Age",$A$3)</f>
        <v>36.923809523809524</v>
      </c>
      <c r="D8">
        <f>A8-B8</f>
        <v>1233</v>
      </c>
      <c r="E8" s="5">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4016E-92F7-4D9C-AB42-E8A2CDC15EE6}">
  <dimension ref="A3:C7"/>
  <sheetViews>
    <sheetView workbookViewId="0">
      <selection activeCell="O15" sqref="O15"/>
    </sheetView>
  </sheetViews>
  <sheetFormatPr defaultRowHeight="15.6" x14ac:dyDescent="0.3"/>
  <cols>
    <col min="1" max="1" width="23.69921875" bestFit="1" customWidth="1"/>
  </cols>
  <sheetData>
    <row r="3" spans="1:3" x14ac:dyDescent="0.3">
      <c r="A3" t="s">
        <v>1562</v>
      </c>
    </row>
    <row r="4" spans="1:3" x14ac:dyDescent="0.3">
      <c r="A4" s="3">
        <v>2.6265306122448981</v>
      </c>
    </row>
    <row r="6" spans="1:3" x14ac:dyDescent="0.3">
      <c r="A6" t="s">
        <v>1563</v>
      </c>
      <c r="B6" s="2">
        <f>GETPIVOTDATA("Job Satisfaction",$A$3)</f>
        <v>2.6265306122448981</v>
      </c>
      <c r="C6">
        <f>B6/4</f>
        <v>0.65663265306122454</v>
      </c>
    </row>
    <row r="7" spans="1:3" x14ac:dyDescent="0.3">
      <c r="A7" t="s">
        <v>1564</v>
      </c>
      <c r="B7" s="2">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4965-FF41-47ED-8744-C99D2D395CB8}">
  <dimension ref="A3:C10"/>
  <sheetViews>
    <sheetView workbookViewId="0">
      <selection activeCell="C9" sqref="C9:C10"/>
    </sheetView>
  </sheetViews>
  <sheetFormatPr defaultRowHeight="15.6" x14ac:dyDescent="0.3"/>
  <cols>
    <col min="1" max="1" width="12.296875" bestFit="1" customWidth="1"/>
    <col min="2" max="2" width="21.296875" bestFit="1" customWidth="1"/>
  </cols>
  <sheetData>
    <row r="3" spans="1:3" x14ac:dyDescent="0.3">
      <c r="A3" s="7" t="s">
        <v>1565</v>
      </c>
      <c r="B3" t="s">
        <v>1567</v>
      </c>
    </row>
    <row r="4" spans="1:3" x14ac:dyDescent="0.3">
      <c r="A4" s="8" t="s">
        <v>51</v>
      </c>
      <c r="B4">
        <v>588</v>
      </c>
    </row>
    <row r="5" spans="1:3" x14ac:dyDescent="0.3">
      <c r="A5" s="8" t="s">
        <v>62</v>
      </c>
      <c r="B5">
        <v>882</v>
      </c>
    </row>
    <row r="6" spans="1:3" x14ac:dyDescent="0.3">
      <c r="A6" s="8" t="s">
        <v>1566</v>
      </c>
      <c r="B6">
        <v>1470</v>
      </c>
    </row>
    <row r="9" spans="1:3" x14ac:dyDescent="0.3">
      <c r="A9" s="8" t="s">
        <v>51</v>
      </c>
      <c r="B9">
        <f>IFERROR(GETPIVOTDATA("Employee Count",$A$3,"Gender","Female"),0)</f>
        <v>588</v>
      </c>
      <c r="C9" s="5">
        <f>IFERROR(B9/($B$9+$B$10),0)</f>
        <v>0.4</v>
      </c>
    </row>
    <row r="10" spans="1:3" x14ac:dyDescent="0.3">
      <c r="A10" s="8" t="s">
        <v>62</v>
      </c>
      <c r="B10">
        <f>IFERROR(GETPIVOTDATA("Employee Count",$A$3,"Gender","Male"),0)</f>
        <v>882</v>
      </c>
      <c r="C10" s="5">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066B-744A-478F-9A84-DC0144C5FAD1}">
  <dimension ref="A3:B9"/>
  <sheetViews>
    <sheetView workbookViewId="0">
      <selection activeCell="N12" sqref="N12"/>
    </sheetView>
  </sheetViews>
  <sheetFormatPr defaultRowHeight="15.6" x14ac:dyDescent="0.3"/>
  <cols>
    <col min="1" max="1" width="16" bestFit="1" customWidth="1"/>
    <col min="2" max="2" width="22.796875" bestFit="1" customWidth="1"/>
  </cols>
  <sheetData>
    <row r="3" spans="1:2" x14ac:dyDescent="0.3">
      <c r="A3" s="7" t="s">
        <v>1565</v>
      </c>
      <c r="B3" t="s">
        <v>1555</v>
      </c>
    </row>
    <row r="4" spans="1:2" x14ac:dyDescent="0.3">
      <c r="A4" s="8" t="s">
        <v>134</v>
      </c>
      <c r="B4">
        <v>5</v>
      </c>
    </row>
    <row r="5" spans="1:2" x14ac:dyDescent="0.3">
      <c r="A5" s="8" t="s">
        <v>65</v>
      </c>
      <c r="B5">
        <v>31</v>
      </c>
    </row>
    <row r="6" spans="1:2" x14ac:dyDescent="0.3">
      <c r="A6" s="8" t="s">
        <v>55</v>
      </c>
      <c r="B6">
        <v>44</v>
      </c>
    </row>
    <row r="7" spans="1:2" x14ac:dyDescent="0.3">
      <c r="A7" s="8" t="s">
        <v>71</v>
      </c>
      <c r="B7">
        <v>58</v>
      </c>
    </row>
    <row r="8" spans="1:2" x14ac:dyDescent="0.3">
      <c r="A8" s="8" t="s">
        <v>77</v>
      </c>
      <c r="B8">
        <v>99</v>
      </c>
    </row>
    <row r="9" spans="1:2" x14ac:dyDescent="0.3">
      <c r="A9" s="8" t="s">
        <v>1566</v>
      </c>
      <c r="B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2E24-146C-4C0C-A029-CC62FE60985F}">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7" t="s">
        <v>1565</v>
      </c>
      <c r="B3" t="s">
        <v>1555</v>
      </c>
      <c r="D3" t="s">
        <v>9</v>
      </c>
      <c r="E3" t="s">
        <v>1558</v>
      </c>
    </row>
    <row r="4" spans="1:5" x14ac:dyDescent="0.3">
      <c r="A4" s="8" t="s">
        <v>83</v>
      </c>
      <c r="B4">
        <v>9</v>
      </c>
      <c r="D4" t="str">
        <f>A4</f>
        <v>Healthcare Representative</v>
      </c>
      <c r="E4">
        <f>GETPIVOTDATA("CF_attrition count",$A$3,"Job Role","Healthcare Representative")</f>
        <v>9</v>
      </c>
    </row>
    <row r="5" spans="1:5" x14ac:dyDescent="0.3">
      <c r="A5" s="8" t="s">
        <v>163</v>
      </c>
      <c r="B5">
        <v>12</v>
      </c>
      <c r="D5" t="str">
        <f t="shared" ref="D5:D12" si="0">A5</f>
        <v>Human Resources</v>
      </c>
      <c r="E5">
        <f>GETPIVOTDATA("CF_attrition count",$A$3,"Job Role","Human Resources")</f>
        <v>12</v>
      </c>
    </row>
    <row r="6" spans="1:5" x14ac:dyDescent="0.3">
      <c r="A6" s="8" t="s">
        <v>68</v>
      </c>
      <c r="B6">
        <v>62</v>
      </c>
      <c r="D6" t="str">
        <f t="shared" si="0"/>
        <v>Laboratory Technician</v>
      </c>
      <c r="E6">
        <f>GETPIVOTDATA("CF_attrition count",$A$3,"Job Role","Laboratory Technician")</f>
        <v>62</v>
      </c>
    </row>
    <row r="7" spans="1:5" x14ac:dyDescent="0.3">
      <c r="A7" s="8" t="s">
        <v>95</v>
      </c>
      <c r="B7">
        <v>5</v>
      </c>
      <c r="D7" t="str">
        <f t="shared" si="0"/>
        <v>Manager</v>
      </c>
      <c r="E7">
        <f>GETPIVOTDATA("CF_attrition count",$A$3,"Job Role","Manager")</f>
        <v>5</v>
      </c>
    </row>
    <row r="8" spans="1:5" x14ac:dyDescent="0.3">
      <c r="A8" s="8" t="s">
        <v>81</v>
      </c>
      <c r="B8">
        <v>10</v>
      </c>
      <c r="D8" t="str">
        <f t="shared" si="0"/>
        <v>Manufacturing Director</v>
      </c>
      <c r="E8">
        <f>GETPIVOTDATA("CF_attrition count",$A$3,"Job Role","Manufacturing Director")</f>
        <v>10</v>
      </c>
    </row>
    <row r="9" spans="1:5" x14ac:dyDescent="0.3">
      <c r="A9" s="8" t="s">
        <v>101</v>
      </c>
      <c r="B9">
        <v>2</v>
      </c>
      <c r="D9" t="str">
        <f t="shared" si="0"/>
        <v>Research Director</v>
      </c>
      <c r="E9">
        <f>GETPIVOTDATA("CF_attrition count",$A$3,"Job Role","Research Director")</f>
        <v>2</v>
      </c>
    </row>
    <row r="10" spans="1:5" x14ac:dyDescent="0.3">
      <c r="A10" s="8" t="s">
        <v>63</v>
      </c>
      <c r="B10">
        <v>47</v>
      </c>
      <c r="D10" t="str">
        <f t="shared" si="0"/>
        <v>Research Scientist</v>
      </c>
      <c r="E10">
        <f>GETPIVOTDATA("CF_attrition count",$A$3,"Job Role","Research Scientist")</f>
        <v>47</v>
      </c>
    </row>
    <row r="11" spans="1:5" x14ac:dyDescent="0.3">
      <c r="A11" s="8" t="s">
        <v>52</v>
      </c>
      <c r="B11">
        <v>57</v>
      </c>
      <c r="D11" t="str">
        <f t="shared" si="0"/>
        <v>Sales Executive</v>
      </c>
      <c r="E11">
        <f>GETPIVOTDATA("CF_attrition count",$A$3,"Job Role","Sales Executive")</f>
        <v>57</v>
      </c>
    </row>
    <row r="12" spans="1:5" x14ac:dyDescent="0.3">
      <c r="A12" s="8" t="s">
        <v>99</v>
      </c>
      <c r="B12">
        <v>33</v>
      </c>
      <c r="D12" t="str">
        <f t="shared" si="0"/>
        <v>Sales Representative</v>
      </c>
      <c r="E12">
        <f>GETPIVOTDATA("CF_attrition count",$A$3,"Job Role","Sales Representative")</f>
        <v>33</v>
      </c>
    </row>
    <row r="13" spans="1:5" x14ac:dyDescent="0.3">
      <c r="A13" s="8" t="s">
        <v>1566</v>
      </c>
      <c r="B1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1B4F7-C4ED-4AD2-B61E-2671F019A64A}">
  <dimension ref="A3:B7"/>
  <sheetViews>
    <sheetView workbookViewId="0">
      <selection activeCell="L11" sqref="L11"/>
    </sheetView>
  </sheetViews>
  <sheetFormatPr defaultRowHeight="15.6" x14ac:dyDescent="0.3"/>
  <cols>
    <col min="1" max="1" width="12.296875" bestFit="1" customWidth="1"/>
    <col min="2" max="2" width="22.796875" bestFit="1" customWidth="1"/>
  </cols>
  <sheetData>
    <row r="3" spans="1:2" x14ac:dyDescent="0.3">
      <c r="A3" s="7" t="s">
        <v>1565</v>
      </c>
      <c r="B3" t="s">
        <v>1555</v>
      </c>
    </row>
    <row r="4" spans="1:2" x14ac:dyDescent="0.3">
      <c r="A4" s="8" t="s">
        <v>161</v>
      </c>
      <c r="B4" s="9">
        <v>5.0632911392405063E-2</v>
      </c>
    </row>
    <row r="5" spans="1:2" x14ac:dyDescent="0.3">
      <c r="A5" s="8" t="s">
        <v>60</v>
      </c>
      <c r="B5" s="9">
        <v>0.56118143459915615</v>
      </c>
    </row>
    <row r="6" spans="1:2" x14ac:dyDescent="0.3">
      <c r="A6" s="8" t="s">
        <v>48</v>
      </c>
      <c r="B6" s="9">
        <v>0.3881856540084388</v>
      </c>
    </row>
    <row r="7" spans="1:2" x14ac:dyDescent="0.3">
      <c r="A7" s="8" t="s">
        <v>1566</v>
      </c>
      <c r="B7"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A893-BA8D-401E-A318-9175CE212293}">
  <dimension ref="A3:B9"/>
  <sheetViews>
    <sheetView workbookViewId="0">
      <selection activeCell="L9" sqref="L9"/>
    </sheetView>
  </sheetViews>
  <sheetFormatPr defaultRowHeight="15.6" x14ac:dyDescent="0.3"/>
  <cols>
    <col min="1" max="1" width="12.296875" bestFit="1" customWidth="1"/>
    <col min="2" max="2" width="22.796875" bestFit="1" customWidth="1"/>
  </cols>
  <sheetData>
    <row r="3" spans="1:2" x14ac:dyDescent="0.3">
      <c r="A3" s="7" t="s">
        <v>1565</v>
      </c>
      <c r="B3" t="s">
        <v>1555</v>
      </c>
    </row>
    <row r="4" spans="1:2" x14ac:dyDescent="0.3">
      <c r="A4" s="8" t="s">
        <v>69</v>
      </c>
      <c r="B4">
        <v>112</v>
      </c>
    </row>
    <row r="5" spans="1:2" x14ac:dyDescent="0.3">
      <c r="A5" s="8" t="s">
        <v>46</v>
      </c>
      <c r="B5">
        <v>51</v>
      </c>
    </row>
    <row r="6" spans="1:2" x14ac:dyDescent="0.3">
      <c r="A6" s="8" t="s">
        <v>92</v>
      </c>
      <c r="B6">
        <v>38</v>
      </c>
    </row>
    <row r="7" spans="1:2" x14ac:dyDescent="0.3">
      <c r="A7" s="8" t="s">
        <v>58</v>
      </c>
      <c r="B7">
        <v>25</v>
      </c>
    </row>
    <row r="8" spans="1:2" x14ac:dyDescent="0.3">
      <c r="A8" s="8" t="s">
        <v>75</v>
      </c>
      <c r="B8">
        <v>11</v>
      </c>
    </row>
    <row r="9" spans="1:2" x14ac:dyDescent="0.3">
      <c r="A9" s="8" t="s">
        <v>1566</v>
      </c>
      <c r="B9">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5E37A-407E-4354-ACB8-0A2F4566622B}">
  <dimension ref="A3:B13"/>
  <sheetViews>
    <sheetView workbookViewId="0">
      <selection activeCell="B5" sqref="B5"/>
    </sheetView>
  </sheetViews>
  <sheetFormatPr defaultRowHeight="15.6" x14ac:dyDescent="0.3"/>
  <cols>
    <col min="1" max="1" width="12.296875" bestFit="1" customWidth="1"/>
    <col min="2" max="2" width="16" bestFit="1" customWidth="1"/>
  </cols>
  <sheetData>
    <row r="3" spans="1:2" x14ac:dyDescent="0.3">
      <c r="A3" s="7" t="s">
        <v>1565</v>
      </c>
      <c r="B3" t="s">
        <v>1568</v>
      </c>
    </row>
    <row r="4" spans="1:2" x14ac:dyDescent="0.3">
      <c r="A4" s="8" t="s">
        <v>64</v>
      </c>
      <c r="B4">
        <v>673</v>
      </c>
    </row>
    <row r="5" spans="1:2" x14ac:dyDescent="0.3">
      <c r="A5" s="8" t="s">
        <v>53</v>
      </c>
      <c r="B5">
        <v>470</v>
      </c>
    </row>
    <row r="6" spans="1:2" x14ac:dyDescent="0.3">
      <c r="A6" s="8" t="s">
        <v>79</v>
      </c>
      <c r="B6">
        <v>327</v>
      </c>
    </row>
    <row r="7" spans="1:2" x14ac:dyDescent="0.3">
      <c r="A7" s="8" t="s">
        <v>1566</v>
      </c>
      <c r="B7">
        <v>1470</v>
      </c>
    </row>
    <row r="10" spans="1:2" x14ac:dyDescent="0.3">
      <c r="A10" s="10" t="s">
        <v>10</v>
      </c>
      <c r="B10" s="11" t="s">
        <v>0</v>
      </c>
    </row>
    <row r="11" spans="1:2" x14ac:dyDescent="0.3">
      <c r="A11" t="str">
        <f>A4</f>
        <v>Married</v>
      </c>
      <c r="B11">
        <f>GETPIVOTDATA("Attrition",$A$3,"Marital Status",A4)</f>
        <v>673</v>
      </c>
    </row>
    <row r="12" spans="1:2" x14ac:dyDescent="0.3">
      <c r="A12" t="str">
        <f>A5</f>
        <v>Single</v>
      </c>
      <c r="B12">
        <f>GETPIVOTDATA("Attrition",$A$3,"Marital Status",A5)</f>
        <v>470</v>
      </c>
    </row>
    <row r="13" spans="1:2" x14ac:dyDescent="0.3">
      <c r="A13" t="str">
        <f>A6</f>
        <v>Divorced</v>
      </c>
      <c r="B13">
        <f>GETPIVOTDATA("Attrition",$A$3,"Marital Status",A6)</f>
        <v>327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49C71-5B22-441F-B13B-4D3EAA9E8E8D}">
  <dimension ref="A1:A20"/>
  <sheetViews>
    <sheetView showGridLines="0" tabSelected="1" zoomScale="66" zoomScaleNormal="66" workbookViewId="0">
      <selection activeCell="AB29" sqref="AB29"/>
    </sheetView>
  </sheetViews>
  <sheetFormatPr defaultColWidth="11.19921875" defaultRowHeight="15" customHeight="1" x14ac:dyDescent="0.3"/>
  <cols>
    <col min="1" max="26" width="8.59765625" style="6" customWidth="1"/>
    <col min="27" max="16384" width="11.19921875" style="6"/>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 Data</vt:lpstr>
      <vt:lpstr>KPI</vt:lpstr>
      <vt:lpstr>Rating</vt:lpstr>
      <vt:lpstr>Gender</vt:lpstr>
      <vt:lpstr>Education by Attrition</vt:lpstr>
      <vt:lpstr>Attrition by Job</vt:lpstr>
      <vt:lpstr>Dept Wise Attrition</vt:lpstr>
      <vt:lpstr>Attrition by Age Group</vt:lpstr>
      <vt:lpstr>Marital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rai</dc:creator>
  <cp:lastModifiedBy>anand rai</cp:lastModifiedBy>
  <dcterms:created xsi:type="dcterms:W3CDTF">2026-06-10T06:47:26Z</dcterms:created>
  <dcterms:modified xsi:type="dcterms:W3CDTF">2026-06-15T19:36:39Z</dcterms:modified>
</cp:coreProperties>
</file>